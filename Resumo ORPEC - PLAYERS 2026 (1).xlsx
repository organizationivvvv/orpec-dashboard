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-Mar.26" sheetId="1" r:id="rId4"/>
    <sheet state="visible" name="SEO_GMN-Mar.26" sheetId="2" r:id="rId5"/>
    <sheet state="visible" name="META-Fev.26" sheetId="3" r:id="rId6"/>
    <sheet state="visible" name="SEO_GMN-Fev.26" sheetId="4" r:id="rId7"/>
    <sheet state="visible" name="META-Jan.26" sheetId="5" r:id="rId8"/>
    <sheet state="visible" name="SEO_GMN-Jan.26" sheetId="6" r:id="rId9"/>
  </sheets>
  <definedNames/>
  <calcPr/>
  <extLst>
    <ext uri="GoogleSheetsCustomDataVersion2">
      <go:sheetsCustomData xmlns:go="http://customooxmlschemas.google.com/" r:id="rId10" roundtripDataChecksum="9bb72t/4LmbQ7tsiv1gNF5iOREbeFujbPy/6+qgvqno="/>
    </ext>
  </extLst>
</workbook>
</file>

<file path=xl/sharedStrings.xml><?xml version="1.0" encoding="utf-8"?>
<sst xmlns="http://schemas.openxmlformats.org/spreadsheetml/2006/main" count="519" uniqueCount="45">
  <si>
    <t>PERFORMANCE INSTAGRAM</t>
  </si>
  <si>
    <t>PLAYERS</t>
  </si>
  <si>
    <t>performance</t>
  </si>
  <si>
    <t>MILLS</t>
  </si>
  <si>
    <t>PASHAL</t>
  </si>
  <si>
    <t>ORGUEL</t>
  </si>
  <si>
    <t>SH</t>
  </si>
  <si>
    <t>ATEX</t>
  </si>
  <si>
    <t>ORPEC</t>
  </si>
  <si>
    <t>PERFORMANCE FACEBOOK</t>
  </si>
  <si>
    <t>seguidores</t>
  </si>
  <si>
    <t>PERFORMANCE LINKEDIN</t>
  </si>
  <si>
    <t>PERFORMANCE YOUTUBE</t>
  </si>
  <si>
    <t>PERFORMANCE SITE</t>
  </si>
  <si>
    <t xml:space="preserve">seo </t>
  </si>
  <si>
    <t>RANKING DOS PLAYERS - TOUCHPOINTS DIGITAIS</t>
  </si>
  <si>
    <t>SEO</t>
  </si>
  <si>
    <t>PAGESPEED</t>
  </si>
  <si>
    <t>GMN</t>
  </si>
  <si>
    <t>INSTAGRAM</t>
  </si>
  <si>
    <t>FACEBOOK</t>
  </si>
  <si>
    <t>LINKEDIN</t>
  </si>
  <si>
    <t>YOUTUBE</t>
  </si>
  <si>
    <t>Resultado</t>
  </si>
  <si>
    <t>PERFORMANCE SITE PAGE SPEED</t>
  </si>
  <si>
    <t>Performance</t>
  </si>
  <si>
    <t>RANKING DOS PLAYERS - PERFORMANCE</t>
  </si>
  <si>
    <t>PERFORMANCE GMN</t>
  </si>
  <si>
    <t xml:space="preserve">Performance </t>
  </si>
  <si>
    <t>PORCENTAGEM PERFORMANCE GERAL - DASHBOARD</t>
  </si>
  <si>
    <t>PESO</t>
  </si>
  <si>
    <t>Nota max</t>
  </si>
  <si>
    <t>Nota PND</t>
  </si>
  <si>
    <t>Nota</t>
  </si>
  <si>
    <t>Total PND</t>
  </si>
  <si>
    <t>TOTAL PND</t>
  </si>
  <si>
    <t>%</t>
  </si>
  <si>
    <t>SITE</t>
  </si>
  <si>
    <t>MÉDIA</t>
  </si>
  <si>
    <t>RANKING</t>
  </si>
  <si>
    <t>SEO (WOORANK)</t>
  </si>
  <si>
    <t>PERI</t>
  </si>
  <si>
    <t>MECAN</t>
  </si>
  <si>
    <t>ROHR</t>
  </si>
  <si>
    <t>ULMA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</si>
</sst>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7">
    <font>
      <sz val="12.0"/>
      <color theme="1"/>
      <name val="Calibri"/>
      <scheme val="minor"/>
    </font>
    <font>
      <color theme="1"/>
      <name val="Calibri"/>
    </font>
    <font>
      <b/>
      <u/>
      <sz val="13.0"/>
      <color rgb="FFFFFFFF"/>
      <name val="Calibri"/>
    </font>
    <font>
      <b/>
      <u/>
      <sz val="14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rgb="FF0563C1"/>
      <name val="Calibri"/>
    </font>
    <font>
      <color theme="1"/>
      <name val="Calibri"/>
      <scheme val="minor"/>
    </font>
    <font>
      <u/>
      <sz val="11.0"/>
      <color rgb="FF0563C1"/>
      <name val="Calibri"/>
    </font>
    <font>
      <b/>
      <sz val="13.0"/>
      <color rgb="FFFFFFFF"/>
      <name val="Calibri"/>
    </font>
    <font>
      <sz val="12.0"/>
      <color theme="0"/>
      <name val="Calibri"/>
    </font>
    <font>
      <u/>
      <sz val="11.0"/>
      <color rgb="FF0563C1"/>
      <name val="Calibri"/>
    </font>
    <font>
      <sz val="11.0"/>
      <color theme="1"/>
      <name val="Calibri"/>
    </font>
    <font>
      <u/>
      <sz val="11.0"/>
      <color rgb="FF0000FF"/>
      <name val="Calibri"/>
    </font>
    <font>
      <b/>
      <sz val="13.0"/>
      <color theme="0"/>
      <name val="Calibri"/>
    </font>
    <font/>
    <font>
      <b/>
      <sz val="14.0"/>
      <color theme="0"/>
      <name val="Calibri"/>
    </font>
    <font>
      <u/>
      <sz val="11.0"/>
      <color theme="10"/>
      <name val="Calibri"/>
    </font>
    <font>
      <b/>
      <u/>
      <sz val="13.0"/>
      <color rgb="FFFFFFFF"/>
      <name val="Calibri"/>
    </font>
    <font>
      <b/>
      <sz val="12.0"/>
      <color theme="0"/>
      <name val="Calibri"/>
    </font>
    <font>
      <b/>
      <u/>
      <sz val="13.0"/>
      <color rgb="FFFFFFFF"/>
    </font>
    <font>
      <b/>
      <color theme="1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u/>
      <sz val="11.0"/>
      <color theme="10"/>
    </font>
    <font>
      <u/>
      <sz val="11.0"/>
      <color rgb="FF0563C1"/>
    </font>
    <font>
      <u/>
      <sz val="11.0"/>
      <color rgb="FF0000FF"/>
    </font>
    <font>
      <b/>
      <sz val="12.0"/>
      <color rgb="FFFFFFFF"/>
      <name val="Calibri"/>
    </font>
    <font>
      <sz val="12.0"/>
      <color rgb="FF0563C1"/>
      <name val="Calibri"/>
    </font>
    <font>
      <sz val="12.0"/>
      <color theme="10"/>
      <name val="Calibri"/>
    </font>
    <font>
      <u/>
      <sz val="12.0"/>
      <color theme="1"/>
      <name val="Calibri"/>
    </font>
    <font>
      <b/>
      <sz val="11.0"/>
      <color theme="1"/>
      <name val="Calibri"/>
    </font>
    <font>
      <u/>
      <sz val="12.0"/>
      <color theme="10"/>
      <name val="Calibri"/>
    </font>
    <font>
      <u/>
      <sz val="12.0"/>
      <color theme="1"/>
      <name val="Calibri"/>
    </font>
    <font>
      <b/>
      <u/>
      <sz val="14.0"/>
      <color rgb="FFFFFFFF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b/>
      <sz val="14.0"/>
      <color rgb="FFFFFFFF"/>
      <name val="Calibri"/>
    </font>
    <font>
      <u/>
      <sz val="12.0"/>
      <color rgb="FF0563C1"/>
      <name val="Calibri"/>
    </font>
    <font>
      <u/>
      <sz val="12.0"/>
      <color rgb="FF0000FF"/>
      <name val="Calibri"/>
    </font>
    <font>
      <u/>
      <sz val="12.0"/>
      <color theme="10"/>
      <name val="Calibri"/>
    </font>
    <font>
      <b/>
      <u/>
      <sz val="12.0"/>
      <color rgb="FFFFFFFF"/>
      <name val="Calibri"/>
    </font>
    <font>
      <b/>
      <u/>
      <sz val="12.0"/>
      <color rgb="FFFFFFFF"/>
      <name val="Montserrat"/>
    </font>
    <font>
      <b/>
      <sz val="11.0"/>
      <color theme="1"/>
      <name val="Montserrat"/>
    </font>
    <font>
      <b/>
      <color theme="1"/>
      <name val="Montserrat"/>
    </font>
    <font>
      <u/>
      <sz val="12.0"/>
      <color rgb="FF0563C1"/>
      <name val="Calibri"/>
    </font>
    <font>
      <u/>
      <sz val="12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2F92"/>
        <bgColor rgb="FFFF2F92"/>
      </patternFill>
    </fill>
    <fill>
      <patternFill patternType="solid">
        <fgColor rgb="FF0070C0"/>
        <bgColor rgb="FF0070C0"/>
      </patternFill>
    </fill>
    <fill>
      <patternFill patternType="solid">
        <fgColor rgb="FF1F3864"/>
        <bgColor rgb="FF1F3864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0" fillId="0" fontId="3" numFmtId="0" xfId="0" applyAlignment="1" applyFont="1">
      <alignment horizontal="center" vertic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0" fillId="0" fontId="5" numFmtId="0" xfId="0" applyFont="1"/>
    <xf borderId="3" fillId="0" fontId="6" numFmtId="0" xfId="0" applyBorder="1" applyFont="1"/>
    <xf borderId="0" fillId="0" fontId="7" numFmtId="0" xfId="0" applyAlignment="1" applyFont="1">
      <alignment readingOrder="0"/>
    </xf>
    <xf borderId="4" fillId="0" fontId="8" numFmtId="0" xfId="0" applyBorder="1" applyFont="1"/>
    <xf borderId="1" fillId="3" fontId="9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0" fontId="10" numFmtId="0" xfId="0" applyFont="1"/>
    <xf borderId="3" fillId="0" fontId="11" numFmtId="0" xfId="0" applyAlignment="1" applyBorder="1" applyFont="1">
      <alignment vertical="center"/>
    </xf>
    <xf borderId="5" fillId="0" fontId="12" numFmtId="3" xfId="0" applyAlignment="1" applyBorder="1" applyFont="1" applyNumberFormat="1">
      <alignment horizontal="center" vertical="center"/>
    </xf>
    <xf borderId="3" fillId="0" fontId="13" numFmtId="0" xfId="0" applyAlignment="1" applyBorder="1" applyFont="1">
      <alignment vertical="center"/>
    </xf>
    <xf borderId="5" fillId="0" fontId="12" numFmtId="0" xfId="0" applyAlignment="1" applyBorder="1" applyFont="1">
      <alignment horizontal="center" vertical="center"/>
    </xf>
    <xf borderId="6" fillId="4" fontId="14" numFmtId="0" xfId="0" applyAlignment="1" applyBorder="1" applyFill="1" applyFont="1">
      <alignment horizontal="center" vertical="center"/>
    </xf>
    <xf borderId="7" fillId="0" fontId="15" numFmtId="0" xfId="0" applyBorder="1" applyFont="1"/>
    <xf borderId="0" fillId="0" fontId="16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0" fillId="0" fontId="7" numFmtId="10" xfId="0" applyAlignment="1" applyFont="1" applyNumberFormat="1">
      <alignment readingOrder="0"/>
    </xf>
    <xf borderId="0" fillId="5" fontId="12" numFmtId="0" xfId="0" applyAlignment="1" applyFill="1" applyFont="1">
      <alignment vertical="center"/>
    </xf>
    <xf borderId="3" fillId="0" fontId="17" numFmtId="0" xfId="0" applyAlignment="1" applyBorder="1" applyFont="1">
      <alignment vertical="center"/>
    </xf>
    <xf borderId="1" fillId="6" fontId="9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5" numFmtId="3" xfId="0" applyAlignment="1" applyFont="1" applyNumberFormat="1">
      <alignment horizontal="center" vertical="center"/>
    </xf>
    <xf borderId="3" fillId="7" fontId="18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vertical="center"/>
    </xf>
    <xf borderId="8" fillId="8" fontId="5" numFmtId="0" xfId="0" applyBorder="1" applyFill="1" applyFont="1"/>
    <xf borderId="1" fillId="7" fontId="19" numFmtId="0" xfId="0" applyAlignment="1" applyBorder="1" applyFont="1">
      <alignment horizontal="center" vertical="center"/>
    </xf>
    <xf borderId="9" fillId="0" fontId="15" numFmtId="0" xfId="0" applyBorder="1" applyFont="1"/>
    <xf borderId="5" fillId="0" fontId="15" numFmtId="0" xfId="0" applyBorder="1" applyFont="1"/>
    <xf borderId="3" fillId="8" fontId="4" numFmtId="0" xfId="0" applyAlignment="1" applyBorder="1" applyFont="1">
      <alignment horizontal="center" vertical="center"/>
    </xf>
    <xf borderId="3" fillId="7" fontId="20" numFmtId="0" xfId="0" applyAlignment="1" applyBorder="1" applyFont="1">
      <alignment horizontal="center"/>
    </xf>
    <xf borderId="0" fillId="8" fontId="4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3" fillId="0" fontId="5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3" fillId="8" fontId="5" numFmtId="0" xfId="0" applyAlignment="1" applyBorder="1" applyFont="1">
      <alignment horizontal="center" vertical="center"/>
    </xf>
    <xf borderId="3" fillId="0" fontId="22" numFmtId="0" xfId="0" applyAlignment="1" applyBorder="1" applyFont="1">
      <alignment horizontal="center" vertical="center"/>
    </xf>
    <xf borderId="3" fillId="9" fontId="23" numFmtId="0" xfId="0" applyAlignment="1" applyBorder="1" applyFill="1" applyFont="1">
      <alignment horizontal="center" vertical="center"/>
    </xf>
    <xf borderId="0" fillId="8" fontId="4" numFmtId="0" xfId="0" applyAlignment="1" applyFont="1">
      <alignment horizontal="center" readingOrder="0" vertical="center"/>
    </xf>
    <xf borderId="3" fillId="0" fontId="24" numFmtId="0" xfId="0" applyAlignment="1" applyBorder="1" applyFont="1">
      <alignment vertical="center"/>
    </xf>
    <xf borderId="3" fillId="0" fontId="25" numFmtId="0" xfId="0" applyAlignment="1" applyBorder="1" applyFont="1">
      <alignment vertical="center"/>
    </xf>
    <xf borderId="3" fillId="0" fontId="26" numFmtId="0" xfId="0" applyAlignment="1" applyBorder="1" applyFont="1">
      <alignment vertical="center"/>
    </xf>
    <xf borderId="1" fillId="7" fontId="27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7" fontId="14" numFmtId="0" xfId="0" applyAlignment="1" applyBorder="1" applyFont="1">
      <alignment horizontal="center" vertical="center"/>
    </xf>
    <xf borderId="3" fillId="10" fontId="23" numFmtId="0" xfId="0" applyAlignment="1" applyBorder="1" applyFill="1" applyFont="1">
      <alignment horizontal="center" vertical="center"/>
    </xf>
    <xf borderId="3" fillId="0" fontId="21" numFmtId="0" xfId="0" applyAlignment="1" applyBorder="1" applyFont="1">
      <alignment vertical="center"/>
    </xf>
    <xf borderId="3" fillId="0" fontId="28" numFmtId="0" xfId="0" applyBorder="1" applyFont="1"/>
    <xf borderId="3" fillId="0" fontId="28" numFmtId="0" xfId="0" applyAlignment="1" applyBorder="1" applyFont="1">
      <alignment vertical="center"/>
    </xf>
    <xf borderId="3" fillId="0" fontId="29" numFmtId="0" xfId="0" applyAlignment="1" applyBorder="1" applyFont="1">
      <alignment vertical="center"/>
    </xf>
    <xf borderId="4" fillId="0" fontId="28" numFmtId="0" xfId="0" applyBorder="1" applyFont="1"/>
    <xf borderId="1" fillId="11" fontId="21" numFmtId="0" xfId="0" applyAlignment="1" applyBorder="1" applyFill="1" applyFont="1">
      <alignment horizontal="center" vertical="center"/>
    </xf>
    <xf borderId="0" fillId="0" fontId="30" numFmtId="0" xfId="0" applyAlignment="1" applyFont="1">
      <alignment vertical="center"/>
    </xf>
    <xf borderId="3" fillId="0" fontId="31" numFmtId="0" xfId="0" applyAlignment="1" applyBorder="1" applyFont="1">
      <alignment vertical="center"/>
    </xf>
    <xf borderId="3" fillId="0" fontId="31" numFmtId="0" xfId="0" applyAlignment="1" applyBorder="1" applyFont="1">
      <alignment horizontal="center" vertical="center"/>
    </xf>
    <xf borderId="0" fillId="0" fontId="1" numFmtId="0" xfId="0" applyFont="1"/>
    <xf borderId="3" fillId="10" fontId="3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10" fontId="12" numFmtId="0" xfId="0" applyAlignment="1" applyBorder="1" applyFont="1">
      <alignment horizontal="center" vertical="center"/>
    </xf>
    <xf borderId="3" fillId="0" fontId="12" numFmtId="9" xfId="0" applyAlignment="1" applyBorder="1" applyFont="1" applyNumberFormat="1">
      <alignment horizontal="center" vertical="center"/>
    </xf>
    <xf borderId="0" fillId="0" fontId="32" numFmtId="0" xfId="0" applyFont="1"/>
    <xf borderId="0" fillId="0" fontId="5" numFmtId="0" xfId="0" applyAlignment="1" applyFont="1">
      <alignment vertical="center"/>
    </xf>
    <xf borderId="0" fillId="0" fontId="33" numFmtId="0" xfId="0" applyFont="1"/>
    <xf borderId="3" fillId="0" fontId="12" numFmtId="0" xfId="0" applyAlignment="1" applyBorder="1" applyFont="1">
      <alignment vertical="center"/>
    </xf>
    <xf borderId="3" fillId="0" fontId="31" numFmtId="9" xfId="0" applyAlignment="1" applyBorder="1" applyFont="1" applyNumberFormat="1">
      <alignment horizontal="center" vertical="center"/>
    </xf>
    <xf borderId="3" fillId="0" fontId="1" numFmtId="0" xfId="0" applyBorder="1" applyFont="1"/>
    <xf borderId="0" fillId="0" fontId="12" numFmtId="0" xfId="0" applyAlignment="1" applyFont="1">
      <alignment vertical="center"/>
    </xf>
    <xf borderId="0" fillId="0" fontId="12" numFmtId="9" xfId="0" applyAlignment="1" applyFont="1" applyNumberFormat="1">
      <alignment horizontal="right" vertical="center"/>
    </xf>
    <xf borderId="0" fillId="0" fontId="5" numFmtId="0" xfId="0" applyAlignment="1" applyFont="1">
      <alignment horizontal="center" vertical="center"/>
    </xf>
    <xf borderId="1" fillId="2" fontId="34" numFmtId="0" xfId="0" applyAlignment="1" applyBorder="1" applyFont="1">
      <alignment horizontal="center"/>
    </xf>
    <xf borderId="3" fillId="0" fontId="35" numFmtId="0" xfId="0" applyBorder="1" applyFont="1"/>
    <xf borderId="3" fillId="9" fontId="23" numFmtId="3" xfId="0" applyAlignment="1" applyBorder="1" applyFont="1" applyNumberFormat="1">
      <alignment horizontal="center" readingOrder="0"/>
    </xf>
    <xf borderId="4" fillId="0" fontId="36" numFmtId="0" xfId="0" applyBorder="1" applyFont="1"/>
    <xf borderId="1" fillId="3" fontId="37" numFmtId="0" xfId="0" applyAlignment="1" applyBorder="1" applyFont="1">
      <alignment horizontal="center" vertical="center"/>
    </xf>
    <xf borderId="3" fillId="0" fontId="38" numFmtId="0" xfId="0" applyAlignment="1" applyBorder="1" applyFont="1">
      <alignment vertical="center"/>
    </xf>
    <xf borderId="5" fillId="0" fontId="5" numFmtId="3" xfId="0" applyAlignment="1" applyBorder="1" applyFont="1" applyNumberFormat="1">
      <alignment horizontal="center"/>
    </xf>
    <xf borderId="3" fillId="0" fontId="39" numFmtId="0" xfId="0" applyAlignment="1" applyBorder="1" applyFont="1">
      <alignment vertical="center"/>
    </xf>
    <xf borderId="5" fillId="0" fontId="5" numFmtId="0" xfId="0" applyAlignment="1" applyBorder="1" applyFont="1">
      <alignment horizontal="center"/>
    </xf>
    <xf borderId="6" fillId="4" fontId="16" numFmtId="0" xfId="0" applyAlignment="1" applyBorder="1" applyFont="1">
      <alignment horizontal="center" vertical="center"/>
    </xf>
    <xf borderId="3" fillId="9" fontId="23" numFmtId="10" xfId="0" applyAlignment="1" applyBorder="1" applyFont="1" applyNumberFormat="1">
      <alignment horizontal="center" readingOrder="0" vertical="center"/>
    </xf>
    <xf borderId="3" fillId="0" fontId="40" numFmtId="0" xfId="0" applyAlignment="1" applyBorder="1" applyFont="1">
      <alignment vertical="center"/>
    </xf>
    <xf borderId="1" fillId="6" fontId="37" numFmtId="0" xfId="0" applyAlignment="1" applyBorder="1" applyFont="1">
      <alignment horizontal="center" vertical="center"/>
    </xf>
    <xf borderId="3" fillId="9" fontId="23" numFmtId="10" xfId="0" applyAlignment="1" applyBorder="1" applyFont="1" applyNumberFormat="1">
      <alignment horizontal="center" vertical="center"/>
    </xf>
    <xf borderId="3" fillId="7" fontId="41" numFmtId="0" xfId="0" applyAlignment="1" applyBorder="1" applyFont="1">
      <alignment horizontal="center" vertical="center"/>
    </xf>
    <xf borderId="3" fillId="7" fontId="42" numFmtId="0" xfId="0" applyAlignment="1" applyBorder="1" applyFont="1">
      <alignment horizontal="center"/>
    </xf>
    <xf borderId="3" fillId="0" fontId="43" numFmtId="0" xfId="0" applyAlignment="1" applyBorder="1" applyFont="1">
      <alignment horizontal="center"/>
    </xf>
    <xf borderId="3" fillId="0" fontId="44" numFmtId="0" xfId="0" applyAlignment="1" applyBorder="1" applyFont="1">
      <alignment horizontal="center"/>
    </xf>
    <xf borderId="3" fillId="9" fontId="44" numFmtId="0" xfId="0" applyAlignment="1" applyBorder="1" applyFont="1">
      <alignment horizontal="center" readingOrder="0"/>
    </xf>
    <xf borderId="3" fillId="7" fontId="19" numFmtId="0" xfId="0" applyAlignment="1" applyBorder="1" applyFont="1">
      <alignment horizontal="center" vertical="center"/>
    </xf>
    <xf borderId="3" fillId="9" fontId="23" numFmtId="0" xfId="0" applyAlignment="1" applyBorder="1" applyFont="1">
      <alignment horizontal="center" readingOrder="0" vertical="center"/>
    </xf>
    <xf borderId="0" fillId="0" fontId="45" numFmtId="0" xfId="0" applyAlignment="1" applyFont="1">
      <alignment vertical="bottom"/>
    </xf>
    <xf borderId="5" fillId="0" fontId="5" numFmtId="3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vertical="center"/>
    </xf>
    <xf borderId="3" fillId="0" fontId="4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@atexbrasil" TargetMode="External"/><Relationship Id="rId22" Type="http://schemas.openxmlformats.org/officeDocument/2006/relationships/hyperlink" Target="https://www.youtube.com/@canalmills" TargetMode="External"/><Relationship Id="rId21" Type="http://schemas.openxmlformats.org/officeDocument/2006/relationships/hyperlink" Target="https://www.youtube.com/@orpecpr" TargetMode="External"/><Relationship Id="rId24" Type="http://schemas.openxmlformats.org/officeDocument/2006/relationships/hyperlink" Target="https://www.youtube.com/@orguel_oficial" TargetMode="External"/><Relationship Id="rId23" Type="http://schemas.openxmlformats.org/officeDocument/2006/relationships/hyperlink" Target="https://www.youtube.com/@SHBrasil" TargetMode="External"/><Relationship Id="rId1" Type="http://schemas.openxmlformats.org/officeDocument/2006/relationships/hyperlink" Target="https://www.notjustanalytics.com/" TargetMode="External"/><Relationship Id="rId2" Type="http://schemas.openxmlformats.org/officeDocument/2006/relationships/hyperlink" Target="https://www.instagram.com/millsoficial" TargetMode="External"/><Relationship Id="rId3" Type="http://schemas.openxmlformats.org/officeDocument/2006/relationships/hyperlink" Target="https://www.instagram.com/pashal.official/" TargetMode="External"/><Relationship Id="rId4" Type="http://schemas.openxmlformats.org/officeDocument/2006/relationships/hyperlink" Target="https://www.instagram.com/orgueloficial/" TargetMode="External"/><Relationship Id="rId9" Type="http://schemas.openxmlformats.org/officeDocument/2006/relationships/hyperlink" Target="https://www.facebook.com/millsbr/followers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youtube.com/@Pashal" TargetMode="External"/><Relationship Id="rId5" Type="http://schemas.openxmlformats.org/officeDocument/2006/relationships/hyperlink" Target="https://www.instagram.com/shbrasil/" TargetMode="External"/><Relationship Id="rId6" Type="http://schemas.openxmlformats.org/officeDocument/2006/relationships/hyperlink" Target="https://www.instagram.com/atex_brasil/" TargetMode="External"/><Relationship Id="rId7" Type="http://schemas.openxmlformats.org/officeDocument/2006/relationships/hyperlink" Target="https://www.instagram.com/orpecpr/" TargetMode="External"/><Relationship Id="rId8" Type="http://schemas.openxmlformats.org/officeDocument/2006/relationships/hyperlink" Target="https://www.facebook.com/shbrasil/followers" TargetMode="External"/><Relationship Id="rId11" Type="http://schemas.openxmlformats.org/officeDocument/2006/relationships/hyperlink" Target="https://www.facebook.com/organizacaoguerralages/followers" TargetMode="External"/><Relationship Id="rId10" Type="http://schemas.openxmlformats.org/officeDocument/2006/relationships/hyperlink" Target="https://www.facebook.com/atexbrasil/followers" TargetMode="External"/><Relationship Id="rId13" Type="http://schemas.openxmlformats.org/officeDocument/2006/relationships/hyperlink" Target="https://www.facebook.com/PashalLocadoraEquipamentos/followers" TargetMode="External"/><Relationship Id="rId12" Type="http://schemas.openxmlformats.org/officeDocument/2006/relationships/hyperlink" Target="https://www.facebook.com/orpecpr/" TargetMode="External"/><Relationship Id="rId15" Type="http://schemas.openxmlformats.org/officeDocument/2006/relationships/hyperlink" Target="https://www.linkedin.com/company/orguel/" TargetMode="External"/><Relationship Id="rId14" Type="http://schemas.openxmlformats.org/officeDocument/2006/relationships/hyperlink" Target="https://www.linkedin.com/company/orpec" TargetMode="External"/><Relationship Id="rId17" Type="http://schemas.openxmlformats.org/officeDocument/2006/relationships/hyperlink" Target="https://www.linkedin.com/company/pashal-locadora-de-equipamentos/" TargetMode="External"/><Relationship Id="rId16" Type="http://schemas.openxmlformats.org/officeDocument/2006/relationships/hyperlink" Target="https://www.linkedin.com/company/atex-do-brasil/" TargetMode="External"/><Relationship Id="rId19" Type="http://schemas.openxmlformats.org/officeDocument/2006/relationships/hyperlink" Target="https://www.linkedin.com/company/shbrasil/" TargetMode="External"/><Relationship Id="rId18" Type="http://schemas.openxmlformats.org/officeDocument/2006/relationships/hyperlink" Target="https://www.linkedin.com/company/millsoficial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maps/place/Orguel+Unidade+Curitiba/@-25.3687533,-49.0866824,17z/data=!3m1!4b1!4m6!3m5!1s0x94dcfade7ce4d971:0x419fde96ed8f7d20!8m2!3d-25.3687534!4d-49.0818061!16s%2Fg%2F1ptxw2918?entry=ttu&amp;g_ep=EgoyMDI0MDkyNS4wIKXMDSoASAFQAw%3D%3D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www.woorank.com/pt" TargetMode="External"/><Relationship Id="rId2" Type="http://schemas.openxmlformats.org/officeDocument/2006/relationships/hyperlink" Target="https://orguel.com.br/" TargetMode="External"/><Relationship Id="rId3" Type="http://schemas.openxmlformats.org/officeDocument/2006/relationships/hyperlink" Target="https://pashal.com/" TargetMode="External"/><Relationship Id="rId4" Type="http://schemas.openxmlformats.org/officeDocument/2006/relationships/hyperlink" Target="https://www.mills.com.br/" TargetMode="External"/><Relationship Id="rId9" Type="http://schemas.openxmlformats.org/officeDocument/2006/relationships/hyperlink" Target="https://sh.com.br/pt/" TargetMode="External"/><Relationship Id="rId5" Type="http://schemas.openxmlformats.org/officeDocument/2006/relationships/hyperlink" Target="https://orpecengenharia.com.br/" TargetMode="External"/><Relationship Id="rId6" Type="http://schemas.openxmlformats.org/officeDocument/2006/relationships/hyperlink" Target="https://atexformwork.com/" TargetMode="External"/><Relationship Id="rId7" Type="http://schemas.openxmlformats.org/officeDocument/2006/relationships/hyperlink" Target="https://sh.com.br/pt/" TargetMode="External"/><Relationship Id="rId8" Type="http://schemas.openxmlformats.org/officeDocument/2006/relationships/hyperlink" Target="https://pagespeed.web.dev/" TargetMode="External"/><Relationship Id="rId11" Type="http://schemas.openxmlformats.org/officeDocument/2006/relationships/hyperlink" Target="https://orpecengenharia.com.br/" TargetMode="External"/><Relationship Id="rId10" Type="http://schemas.openxmlformats.org/officeDocument/2006/relationships/hyperlink" Target="https://orguel.com.br/" TargetMode="External"/><Relationship Id="rId13" Type="http://schemas.openxmlformats.org/officeDocument/2006/relationships/hyperlink" Target="https://www.mills.com.br/" TargetMode="External"/><Relationship Id="rId12" Type="http://schemas.openxmlformats.org/officeDocument/2006/relationships/hyperlink" Target="https://pashal.com/" TargetMode="External"/><Relationship Id="rId15" Type="http://schemas.openxmlformats.org/officeDocument/2006/relationships/hyperlink" Target="https://goo.gl/maps/deupwzr6JjtAEBC17" TargetMode="External"/><Relationship Id="rId14" Type="http://schemas.openxmlformats.org/officeDocument/2006/relationships/hyperlink" Target="https://atexformwork.com/" TargetMode="External"/><Relationship Id="rId17" Type="http://schemas.openxmlformats.org/officeDocument/2006/relationships/hyperlink" Target="https://goo.gl/maps/9pqSWpirAXNTsjP26" TargetMode="External"/><Relationship Id="rId16" Type="http://schemas.openxmlformats.org/officeDocument/2006/relationships/hyperlink" Target="https://www.google.com/search?q=sh+formas&amp;rlz=1C1CHZN_pt-BRBR1105BR1105&amp;oq=sh+formas&amp;gs_lcrp=EgZjaHJvbWUqDAgAECMYJxiABBiKBTIMCAAQIxgnGIAEGIoFMhUIARAuGEMYrwEYxwEYgAQYigUYjgUyBwgCEAAYgAQyBwgDEAAYgAQyDAgEEAAYQxiABBiKBTIHCAUQABiABDIGCAYQRRg8MgYIBxBFGDzSAQgyOT" TargetMode="External"/><Relationship Id="rId19" Type="http://schemas.openxmlformats.org/officeDocument/2006/relationships/hyperlink" Target="https://goo.gl/maps/ngGDLsjkVgaSqQQq7" TargetMode="External"/><Relationship Id="rId18" Type="http://schemas.openxmlformats.org/officeDocument/2006/relationships/hyperlink" Target="https://goo.gl/maps/tDcq1YLYbk2kTeCW6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@orpecpr" TargetMode="External"/><Relationship Id="rId22" Type="http://schemas.openxmlformats.org/officeDocument/2006/relationships/hyperlink" Target="https://www.youtube.com/@SHBrasil" TargetMode="External"/><Relationship Id="rId21" Type="http://schemas.openxmlformats.org/officeDocument/2006/relationships/hyperlink" Target="https://www.youtube.com/@atexbrasil" TargetMode="External"/><Relationship Id="rId24" Type="http://schemas.openxmlformats.org/officeDocument/2006/relationships/hyperlink" Target="https://www.youtube.com/@orguel_oficial" TargetMode="External"/><Relationship Id="rId23" Type="http://schemas.openxmlformats.org/officeDocument/2006/relationships/hyperlink" Target="https://www.youtube.com/@canalmills" TargetMode="External"/><Relationship Id="rId1" Type="http://schemas.openxmlformats.org/officeDocument/2006/relationships/hyperlink" Target="https://www.notjustanalytics.com/" TargetMode="External"/><Relationship Id="rId2" Type="http://schemas.openxmlformats.org/officeDocument/2006/relationships/hyperlink" Target="https://www.instagram.com/millsoficial" TargetMode="External"/><Relationship Id="rId3" Type="http://schemas.openxmlformats.org/officeDocument/2006/relationships/hyperlink" Target="https://www.instagram.com/orgueloficial/" TargetMode="External"/><Relationship Id="rId4" Type="http://schemas.openxmlformats.org/officeDocument/2006/relationships/hyperlink" Target="https://www.instagram.com/shbrasil/" TargetMode="External"/><Relationship Id="rId9" Type="http://schemas.openxmlformats.org/officeDocument/2006/relationships/hyperlink" Target="https://www.facebook.com/millsbr/followers" TargetMode="External"/><Relationship Id="rId26" Type="http://schemas.openxmlformats.org/officeDocument/2006/relationships/drawing" Target="../drawings/drawing3.xml"/><Relationship Id="rId25" Type="http://schemas.openxmlformats.org/officeDocument/2006/relationships/hyperlink" Target="https://www.youtube.com/@Pashal" TargetMode="External"/><Relationship Id="rId5" Type="http://schemas.openxmlformats.org/officeDocument/2006/relationships/hyperlink" Target="https://www.instagram.com/pashal.official/" TargetMode="External"/><Relationship Id="rId6" Type="http://schemas.openxmlformats.org/officeDocument/2006/relationships/hyperlink" Target="https://www.instagram.com/orpecpr/" TargetMode="External"/><Relationship Id="rId7" Type="http://schemas.openxmlformats.org/officeDocument/2006/relationships/hyperlink" Target="https://www.instagram.com/atex_brasil/" TargetMode="External"/><Relationship Id="rId8" Type="http://schemas.openxmlformats.org/officeDocument/2006/relationships/hyperlink" Target="https://www.facebook.com/shbrasil/followers" TargetMode="External"/><Relationship Id="rId11" Type="http://schemas.openxmlformats.org/officeDocument/2006/relationships/hyperlink" Target="https://www.facebook.com/organizacaoguerralages/followers" TargetMode="External"/><Relationship Id="rId10" Type="http://schemas.openxmlformats.org/officeDocument/2006/relationships/hyperlink" Target="https://www.facebook.com/atexbrasil/followers" TargetMode="External"/><Relationship Id="rId13" Type="http://schemas.openxmlformats.org/officeDocument/2006/relationships/hyperlink" Target="https://www.facebook.com/PashalLocadoraEquipamentos/followers" TargetMode="External"/><Relationship Id="rId12" Type="http://schemas.openxmlformats.org/officeDocument/2006/relationships/hyperlink" Target="https://www.facebook.com/orpecpr/" TargetMode="External"/><Relationship Id="rId15" Type="http://schemas.openxmlformats.org/officeDocument/2006/relationships/hyperlink" Target="https://www.linkedin.com/company/pashal-locadora-de-equipamentos/" TargetMode="External"/><Relationship Id="rId14" Type="http://schemas.openxmlformats.org/officeDocument/2006/relationships/hyperlink" Target="https://www.linkedin.com/company/atex-do-brasil/" TargetMode="External"/><Relationship Id="rId17" Type="http://schemas.openxmlformats.org/officeDocument/2006/relationships/hyperlink" Target="https://www.linkedin.com/company/orguel/" TargetMode="External"/><Relationship Id="rId16" Type="http://schemas.openxmlformats.org/officeDocument/2006/relationships/hyperlink" Target="https://www.linkedin.com/company/orpec" TargetMode="External"/><Relationship Id="rId19" Type="http://schemas.openxmlformats.org/officeDocument/2006/relationships/hyperlink" Target="https://www.linkedin.com/company/shbrasil/" TargetMode="External"/><Relationship Id="rId18" Type="http://schemas.openxmlformats.org/officeDocument/2006/relationships/hyperlink" Target="https://www.linkedin.com/company/millsoficial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oo.gl/maps/ngGDLsjkVgaSqQQq7" TargetMode="External"/><Relationship Id="rId42" Type="http://schemas.openxmlformats.org/officeDocument/2006/relationships/hyperlink" Target="https://www.mills.com.br/" TargetMode="External"/><Relationship Id="rId41" Type="http://schemas.openxmlformats.org/officeDocument/2006/relationships/hyperlink" Target="https://orpecengenharia.com.br/" TargetMode="External"/><Relationship Id="rId44" Type="http://schemas.openxmlformats.org/officeDocument/2006/relationships/hyperlink" Target="https://www.instagram.com/pashal.official/" TargetMode="External"/><Relationship Id="rId43" Type="http://schemas.openxmlformats.org/officeDocument/2006/relationships/hyperlink" Target="https://goo.gl/maps/tDcq1YLYbk2kTeCW6" TargetMode="External"/><Relationship Id="rId46" Type="http://schemas.openxmlformats.org/officeDocument/2006/relationships/hyperlink" Target="https://www.linkedin.com/company/orguel/" TargetMode="External"/><Relationship Id="rId45" Type="http://schemas.openxmlformats.org/officeDocument/2006/relationships/hyperlink" Target="https://www.facebook.com/organizacaoguerralages/followers" TargetMode="External"/><Relationship Id="rId1" Type="http://schemas.openxmlformats.org/officeDocument/2006/relationships/hyperlink" Target="https://www.woorank.com/pt" TargetMode="External"/><Relationship Id="rId2" Type="http://schemas.openxmlformats.org/officeDocument/2006/relationships/hyperlink" Target="https://orguel.com.br/" TargetMode="External"/><Relationship Id="rId3" Type="http://schemas.openxmlformats.org/officeDocument/2006/relationships/hyperlink" Target="https://pashal.com/" TargetMode="External"/><Relationship Id="rId4" Type="http://schemas.openxmlformats.org/officeDocument/2006/relationships/hyperlink" Target="https://www.mills.com.br/" TargetMode="External"/><Relationship Id="rId9" Type="http://schemas.openxmlformats.org/officeDocument/2006/relationships/hyperlink" Target="https://sh.com.br/pt/" TargetMode="External"/><Relationship Id="rId48" Type="http://schemas.openxmlformats.org/officeDocument/2006/relationships/hyperlink" Target="https://www.google.com/maps/place/Orguel+Unidade+Curitiba/@-25.3687533,-49.0866824,17z/data=!3m1!4b1!4m6!3m5!1s0x94dcfade7ce4d971:0x419fde96ed8f7d20!8m2!3d-25.3687534!4d-49.0818061!16s%2Fg%2F1ptxw2918?entry=ttu&amp;g_ep=EgoyMDI0MDkyNS4wIKXMDSoASAFQAw%3D%3D" TargetMode="External"/><Relationship Id="rId47" Type="http://schemas.openxmlformats.org/officeDocument/2006/relationships/hyperlink" Target="https://www.youtube.com/@canalmills" TargetMode="External"/><Relationship Id="rId49" Type="http://schemas.openxmlformats.org/officeDocument/2006/relationships/hyperlink" Target="https://atexformwork.com/" TargetMode="External"/><Relationship Id="rId5" Type="http://schemas.openxmlformats.org/officeDocument/2006/relationships/hyperlink" Target="https://orpecengenharia.com.br/" TargetMode="External"/><Relationship Id="rId6" Type="http://schemas.openxmlformats.org/officeDocument/2006/relationships/hyperlink" Target="https://atexformwork.com/" TargetMode="External"/><Relationship Id="rId7" Type="http://schemas.openxmlformats.org/officeDocument/2006/relationships/hyperlink" Target="https://sh.com.br/pt/" TargetMode="External"/><Relationship Id="rId8" Type="http://schemas.openxmlformats.org/officeDocument/2006/relationships/hyperlink" Target="https://pagespeed.web.dev/" TargetMode="External"/><Relationship Id="rId31" Type="http://schemas.openxmlformats.org/officeDocument/2006/relationships/hyperlink" Target="https://www.youtube.com/@atexbrasil" TargetMode="External"/><Relationship Id="rId30" Type="http://schemas.openxmlformats.org/officeDocument/2006/relationships/hyperlink" Target="https://www.linkedin.com/company/pashal-locadora-de-equipamentos/" TargetMode="External"/><Relationship Id="rId33" Type="http://schemas.openxmlformats.org/officeDocument/2006/relationships/hyperlink" Target="https://www.mills.com.br/" TargetMode="External"/><Relationship Id="rId32" Type="http://schemas.openxmlformats.org/officeDocument/2006/relationships/hyperlink" Target="https://goo.gl/maps/tDcq1YLYbk2kTeCW6" TargetMode="External"/><Relationship Id="rId35" Type="http://schemas.openxmlformats.org/officeDocument/2006/relationships/hyperlink" Target="https://goo.gl/maps/9pqSWpirAXNTsjP26" TargetMode="External"/><Relationship Id="rId34" Type="http://schemas.openxmlformats.org/officeDocument/2006/relationships/hyperlink" Target="https://pashal.com/" TargetMode="External"/><Relationship Id="rId37" Type="http://schemas.openxmlformats.org/officeDocument/2006/relationships/hyperlink" Target="https://www.facebook.com/atexbrasil/followers" TargetMode="External"/><Relationship Id="rId36" Type="http://schemas.openxmlformats.org/officeDocument/2006/relationships/hyperlink" Target="https://www.instagram.com/shbrasil/" TargetMode="External"/><Relationship Id="rId39" Type="http://schemas.openxmlformats.org/officeDocument/2006/relationships/hyperlink" Target="https://www.youtube.com/@SHBrasil" TargetMode="External"/><Relationship Id="rId38" Type="http://schemas.openxmlformats.org/officeDocument/2006/relationships/hyperlink" Target="https://www.linkedin.com/company/orpec" TargetMode="External"/><Relationship Id="rId62" Type="http://schemas.openxmlformats.org/officeDocument/2006/relationships/hyperlink" Target="https://www.youtube.com/@Pashal" TargetMode="External"/><Relationship Id="rId61" Type="http://schemas.openxmlformats.org/officeDocument/2006/relationships/hyperlink" Target="https://www.linkedin.com/company/shbrasil/" TargetMode="External"/><Relationship Id="rId20" Type="http://schemas.openxmlformats.org/officeDocument/2006/relationships/hyperlink" Target="https://www.instagram.com/millsoficial" TargetMode="External"/><Relationship Id="rId63" Type="http://schemas.openxmlformats.org/officeDocument/2006/relationships/drawing" Target="../drawings/drawing4.xml"/><Relationship Id="rId22" Type="http://schemas.openxmlformats.org/officeDocument/2006/relationships/hyperlink" Target="https://www.linkedin.com/company/atex-do-brasil/" TargetMode="External"/><Relationship Id="rId21" Type="http://schemas.openxmlformats.org/officeDocument/2006/relationships/hyperlink" Target="https://www.facebook.com/shbrasil/followers" TargetMode="External"/><Relationship Id="rId24" Type="http://schemas.openxmlformats.org/officeDocument/2006/relationships/hyperlink" Target="https://goo.gl/maps/9pqSWpirAXNTsjP26" TargetMode="External"/><Relationship Id="rId23" Type="http://schemas.openxmlformats.org/officeDocument/2006/relationships/hyperlink" Target="https://www.youtube.com/@orpecpr" TargetMode="External"/><Relationship Id="rId60" Type="http://schemas.openxmlformats.org/officeDocument/2006/relationships/hyperlink" Target="https://www.facebook.com/PashalLocadoraEquipamentos/followers" TargetMode="External"/><Relationship Id="rId26" Type="http://schemas.openxmlformats.org/officeDocument/2006/relationships/hyperlink" Target="https://orguel.com.br/" TargetMode="External"/><Relationship Id="rId25" Type="http://schemas.openxmlformats.org/officeDocument/2006/relationships/hyperlink" Target="https://pashal.com/" TargetMode="External"/><Relationship Id="rId28" Type="http://schemas.openxmlformats.org/officeDocument/2006/relationships/hyperlink" Target="https://www.instagram.com/orgueloficial/" TargetMode="External"/><Relationship Id="rId27" Type="http://schemas.openxmlformats.org/officeDocument/2006/relationships/hyperlink" Target="https://www.google.com/search?q=sh+formas&amp;rlz=1C1CHZN_pt-BRBR1105BR1105&amp;oq=sh+formas&amp;gs_lcrp=EgZjaHJvbWUqDAgAECMYJxiABBiKBTIMCAAQIxgnGIAEGIoFMhUIARAuGEMYrwEYxwEYgAQYigUYjgUyBwgCEAAYgAQyBwgDEAAYgAQyDAgEEAAYQxiABBiKBTIHCAUQABiABDIGCAYQRRg8MgYIBxBFGDzSAQgyOT" TargetMode="External"/><Relationship Id="rId29" Type="http://schemas.openxmlformats.org/officeDocument/2006/relationships/hyperlink" Target="https://www.facebook.com/millsbr/followers" TargetMode="External"/><Relationship Id="rId51" Type="http://schemas.openxmlformats.org/officeDocument/2006/relationships/hyperlink" Target="https://goo.gl/maps/ngGDLsjkVgaSqQQq7" TargetMode="External"/><Relationship Id="rId50" Type="http://schemas.openxmlformats.org/officeDocument/2006/relationships/hyperlink" Target="https://atexformwork.com/" TargetMode="External"/><Relationship Id="rId53" Type="http://schemas.openxmlformats.org/officeDocument/2006/relationships/hyperlink" Target="https://www.facebook.com/orpecpr/" TargetMode="External"/><Relationship Id="rId52" Type="http://schemas.openxmlformats.org/officeDocument/2006/relationships/hyperlink" Target="https://www.instagram.com/orpecpr/" TargetMode="External"/><Relationship Id="rId11" Type="http://schemas.openxmlformats.org/officeDocument/2006/relationships/hyperlink" Target="https://pashal.com/" TargetMode="External"/><Relationship Id="rId55" Type="http://schemas.openxmlformats.org/officeDocument/2006/relationships/hyperlink" Target="https://www.youtube.com/@orguel_oficial" TargetMode="External"/><Relationship Id="rId10" Type="http://schemas.openxmlformats.org/officeDocument/2006/relationships/hyperlink" Target="https://orguel.com.br/" TargetMode="External"/><Relationship Id="rId54" Type="http://schemas.openxmlformats.org/officeDocument/2006/relationships/hyperlink" Target="https://www.linkedin.com/company/millsoficial/" TargetMode="External"/><Relationship Id="rId13" Type="http://schemas.openxmlformats.org/officeDocument/2006/relationships/hyperlink" Target="https://atexformwork.com/" TargetMode="External"/><Relationship Id="rId57" Type="http://schemas.openxmlformats.org/officeDocument/2006/relationships/hyperlink" Target="https://orpecengenharia.com.br/" TargetMode="External"/><Relationship Id="rId12" Type="http://schemas.openxmlformats.org/officeDocument/2006/relationships/hyperlink" Target="https://www.mills.com.br/" TargetMode="External"/><Relationship Id="rId56" Type="http://schemas.openxmlformats.org/officeDocument/2006/relationships/hyperlink" Target="https://sh.com.br/pt/" TargetMode="External"/><Relationship Id="rId15" Type="http://schemas.openxmlformats.org/officeDocument/2006/relationships/hyperlink" Target="https://goo.gl/maps/deupwzr6JjtAEBC17" TargetMode="External"/><Relationship Id="rId59" Type="http://schemas.openxmlformats.org/officeDocument/2006/relationships/hyperlink" Target="https://www.instagram.com/atex_brasil/" TargetMode="External"/><Relationship Id="rId14" Type="http://schemas.openxmlformats.org/officeDocument/2006/relationships/hyperlink" Target="https://orpecengenharia.com.br/" TargetMode="External"/><Relationship Id="rId58" Type="http://schemas.openxmlformats.org/officeDocument/2006/relationships/hyperlink" Target="https://www.google.com/maps/place/Orguel+Unidade+Curitiba/@-25.3687533,-49.0866824,17z/data=!3m1!4b1!4m6!3m5!1s0x94dcfade7ce4d971:0x419fde96ed8f7d20!8m2!3d-25.3687534!4d-49.0818061!16s%2Fg%2F1ptxw2918?entry=ttu&amp;g_ep=EgoyMDI0MDkyNS4wIKXMDSoASAFQAw%3D%3D" TargetMode="External"/><Relationship Id="rId17" Type="http://schemas.openxmlformats.org/officeDocument/2006/relationships/hyperlink" Target="https://orguel.com.br/" TargetMode="External"/><Relationship Id="rId16" Type="http://schemas.openxmlformats.org/officeDocument/2006/relationships/hyperlink" Target="https://www.google.com/search?q=sh+formas&amp;rlz=1C1CHZN_pt-BRBR1105BR1105&amp;oq=sh+formas&amp;gs_lcrp=EgZjaHJvbWUqDAgAECMYJxiABBiKBTIMCAAQIxgnGIAEGIoFMhUIARAuGEMYrwEYxwEYgAQYigUYjgUyBwgCEAAYgAQyBwgDEAAYgAQyDAgEEAAYQxiABBiKBTIHCAUQABiABDIGCAYQRRg8MgYIBxBFGDzSAQgyOT" TargetMode="External"/><Relationship Id="rId19" Type="http://schemas.openxmlformats.org/officeDocument/2006/relationships/hyperlink" Target="https://goo.gl/maps/deupwzr6JjtAEBC17" TargetMode="External"/><Relationship Id="rId18" Type="http://schemas.openxmlformats.org/officeDocument/2006/relationships/hyperlink" Target="https://sh.com.br/pt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Pashal" TargetMode="External"/><Relationship Id="rId42" Type="http://schemas.openxmlformats.org/officeDocument/2006/relationships/drawing" Target="../drawings/drawing5.xml"/><Relationship Id="rId41" Type="http://schemas.openxmlformats.org/officeDocument/2006/relationships/hyperlink" Target="https://www.youtube.com/@mecan_oficial" TargetMode="External"/><Relationship Id="rId1" Type="http://schemas.openxmlformats.org/officeDocument/2006/relationships/hyperlink" Target="https://www.notjustanalytics.com/" TargetMode="External"/><Relationship Id="rId2" Type="http://schemas.openxmlformats.org/officeDocument/2006/relationships/hyperlink" Target="https://www.instagram.com/orgueloficial/" TargetMode="External"/><Relationship Id="rId3" Type="http://schemas.openxmlformats.org/officeDocument/2006/relationships/hyperlink" Target="https://www.instagram.com/pericorporate/" TargetMode="External"/><Relationship Id="rId4" Type="http://schemas.openxmlformats.org/officeDocument/2006/relationships/hyperlink" Target="https://www.instagram.com/millsoficial" TargetMode="External"/><Relationship Id="rId9" Type="http://schemas.openxmlformats.org/officeDocument/2006/relationships/hyperlink" Target="https://www.instagram.com/atex_brasil/" TargetMode="External"/><Relationship Id="rId5" Type="http://schemas.openxmlformats.org/officeDocument/2006/relationships/hyperlink" Target="https://www.instagram.com/mecanoficial/" TargetMode="External"/><Relationship Id="rId6" Type="http://schemas.openxmlformats.org/officeDocument/2006/relationships/hyperlink" Target="https://www.instagram.com/shbrasil/" TargetMode="External"/><Relationship Id="rId7" Type="http://schemas.openxmlformats.org/officeDocument/2006/relationships/hyperlink" Target="https://www.instagram.com/pashal.official/" TargetMode="External"/><Relationship Id="rId8" Type="http://schemas.openxmlformats.org/officeDocument/2006/relationships/hyperlink" Target="https://www.instagram.com/orpecpr/" TargetMode="External"/><Relationship Id="rId31" Type="http://schemas.openxmlformats.org/officeDocument/2006/relationships/hyperlink" Target="https://www.linkedin.com/company/shbrasil/" TargetMode="External"/><Relationship Id="rId30" Type="http://schemas.openxmlformats.org/officeDocument/2006/relationships/hyperlink" Target="https://www.linkedin.com/company/mecanoficial/" TargetMode="External"/><Relationship Id="rId33" Type="http://schemas.openxmlformats.org/officeDocument/2006/relationships/hyperlink" Target="https://www.youtube.com/@Ulmaconstruction" TargetMode="External"/><Relationship Id="rId32" Type="http://schemas.openxmlformats.org/officeDocument/2006/relationships/hyperlink" Target="https://www.youtube.com/@orpecpr" TargetMode="External"/><Relationship Id="rId35" Type="http://schemas.openxmlformats.org/officeDocument/2006/relationships/hyperlink" Target="https://www.youtube.com/@perigroup" TargetMode="External"/><Relationship Id="rId34" Type="http://schemas.openxmlformats.org/officeDocument/2006/relationships/hyperlink" Target="https://www.youtube.com/@SHBrasil" TargetMode="External"/><Relationship Id="rId37" Type="http://schemas.openxmlformats.org/officeDocument/2006/relationships/hyperlink" Target="https://www.youtube.com/@canalmills" TargetMode="External"/><Relationship Id="rId36" Type="http://schemas.openxmlformats.org/officeDocument/2006/relationships/hyperlink" Target="https://www.youtube.com/@atexbrasil" TargetMode="External"/><Relationship Id="rId39" Type="http://schemas.openxmlformats.org/officeDocument/2006/relationships/hyperlink" Target="https://www.youtube.com/@orguel_oficial" TargetMode="External"/><Relationship Id="rId38" Type="http://schemas.openxmlformats.org/officeDocument/2006/relationships/hyperlink" Target="https://www.youtube.com/@rohr.engenharia" TargetMode="External"/><Relationship Id="rId20" Type="http://schemas.openxmlformats.org/officeDocument/2006/relationships/hyperlink" Target="https://www.facebook.com/PashalLocadoraEquipamentos/followers" TargetMode="External"/><Relationship Id="rId22" Type="http://schemas.openxmlformats.org/officeDocument/2006/relationships/hyperlink" Target="https://www.linkedin.com/company/peribrasil/" TargetMode="External"/><Relationship Id="rId21" Type="http://schemas.openxmlformats.org/officeDocument/2006/relationships/hyperlink" Target="https://www.facebook.com/ULMAArchitecturalSolutions/followers" TargetMode="External"/><Relationship Id="rId24" Type="http://schemas.openxmlformats.org/officeDocument/2006/relationships/hyperlink" Target="https://www.linkedin.com/company/millsoficial/" TargetMode="External"/><Relationship Id="rId23" Type="http://schemas.openxmlformats.org/officeDocument/2006/relationships/hyperlink" Target="https://www.linkedin.com/company/orpec" TargetMode="External"/><Relationship Id="rId26" Type="http://schemas.openxmlformats.org/officeDocument/2006/relationships/hyperlink" Target="https://www.linkedin.com/company/rohr-s-a-estruturas-tubulares/?originalSubdomain=pt" TargetMode="External"/><Relationship Id="rId25" Type="http://schemas.openxmlformats.org/officeDocument/2006/relationships/hyperlink" Target="https://www.linkedin.com/company/atex-do-brasil/" TargetMode="External"/><Relationship Id="rId28" Type="http://schemas.openxmlformats.org/officeDocument/2006/relationships/hyperlink" Target="https://www.linkedin.com/company/orguel/" TargetMode="External"/><Relationship Id="rId27" Type="http://schemas.openxmlformats.org/officeDocument/2006/relationships/hyperlink" Target="https://www.linkedin.com/company/pashal-locadora-de-equipamentos/" TargetMode="External"/><Relationship Id="rId29" Type="http://schemas.openxmlformats.org/officeDocument/2006/relationships/hyperlink" Target="https://www.linkedin.com/company/ulma-cye/" TargetMode="External"/><Relationship Id="rId11" Type="http://schemas.openxmlformats.org/officeDocument/2006/relationships/hyperlink" Target="https://www.instagram.com/ulmaarchitectural/" TargetMode="External"/><Relationship Id="rId10" Type="http://schemas.openxmlformats.org/officeDocument/2006/relationships/hyperlink" Target="https://www.instagram.com/rohr.engenharia/" TargetMode="External"/><Relationship Id="rId13" Type="http://schemas.openxmlformats.org/officeDocument/2006/relationships/hyperlink" Target="https://www.facebook.com/shbrasil/followers" TargetMode="External"/><Relationship Id="rId12" Type="http://schemas.openxmlformats.org/officeDocument/2006/relationships/hyperlink" Target="https://www.facebook.com/peribrasil.1996/followers" TargetMode="External"/><Relationship Id="rId15" Type="http://schemas.openxmlformats.org/officeDocument/2006/relationships/hyperlink" Target="https://www.facebook.com/atexbrasil/followers" TargetMode="External"/><Relationship Id="rId14" Type="http://schemas.openxmlformats.org/officeDocument/2006/relationships/hyperlink" Target="https://www.facebook.com/millsbr/followers" TargetMode="External"/><Relationship Id="rId17" Type="http://schemas.openxmlformats.org/officeDocument/2006/relationships/hyperlink" Target="https://www.facebook.com/organizacaoguerralages/followers" TargetMode="External"/><Relationship Id="rId16" Type="http://schemas.openxmlformats.org/officeDocument/2006/relationships/hyperlink" Target="https://www.facebook.com/RohrEstruturasTubulares/followers" TargetMode="External"/><Relationship Id="rId19" Type="http://schemas.openxmlformats.org/officeDocument/2006/relationships/hyperlink" Target="https://www.facebook.com/Mecanoficial" TargetMode="External"/><Relationship Id="rId18" Type="http://schemas.openxmlformats.org/officeDocument/2006/relationships/hyperlink" Target="https://www.facebook.com/orpecpr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orpecengenharia.com.br/" TargetMode="External"/><Relationship Id="rId42" Type="http://schemas.openxmlformats.org/officeDocument/2006/relationships/hyperlink" Target="https://goo.gl/maps/tDcq1YLYbk2kTeCW6" TargetMode="External"/><Relationship Id="rId41" Type="http://schemas.openxmlformats.org/officeDocument/2006/relationships/hyperlink" Target="https://orpecengenharia.com.br/" TargetMode="External"/><Relationship Id="rId44" Type="http://schemas.openxmlformats.org/officeDocument/2006/relationships/hyperlink" Target="https://www.facebook.com/RohrEstruturasTubulares/followers" TargetMode="External"/><Relationship Id="rId43" Type="http://schemas.openxmlformats.org/officeDocument/2006/relationships/hyperlink" Target="https://www.instagram.com/shbrasil/" TargetMode="External"/><Relationship Id="rId46" Type="http://schemas.openxmlformats.org/officeDocument/2006/relationships/hyperlink" Target="https://www.youtube.com/@atexbrasil" TargetMode="External"/><Relationship Id="rId45" Type="http://schemas.openxmlformats.org/officeDocument/2006/relationships/hyperlink" Target="https://www.linkedin.com/company/rohr-s-a-estruturas-tubulares/?originalSubdomain=pt" TargetMode="External"/><Relationship Id="rId48" Type="http://schemas.openxmlformats.org/officeDocument/2006/relationships/hyperlink" Target="https://www.peri.com.br/" TargetMode="External"/><Relationship Id="rId47" Type="http://schemas.openxmlformats.org/officeDocument/2006/relationships/hyperlink" Target="https://pagespeed.web.dev/" TargetMode="External"/><Relationship Id="rId49" Type="http://schemas.openxmlformats.org/officeDocument/2006/relationships/hyperlink" Target="https://pashal.com/" TargetMode="External"/><Relationship Id="rId101" Type="http://schemas.openxmlformats.org/officeDocument/2006/relationships/drawing" Target="../drawings/drawing6.xml"/><Relationship Id="rId100" Type="http://schemas.openxmlformats.org/officeDocument/2006/relationships/hyperlink" Target="https://goo.gl/maps/UF4srRC7e94eKXyg6" TargetMode="External"/><Relationship Id="rId31" Type="http://schemas.openxmlformats.org/officeDocument/2006/relationships/hyperlink" Target="https://www.youtube.com/@SHBrasil" TargetMode="External"/><Relationship Id="rId30" Type="http://schemas.openxmlformats.org/officeDocument/2006/relationships/hyperlink" Target="https://www.linkedin.com/company/millsoficial/" TargetMode="External"/><Relationship Id="rId33" Type="http://schemas.openxmlformats.org/officeDocument/2006/relationships/hyperlink" Target="https://www.mills.com.br/" TargetMode="External"/><Relationship Id="rId32" Type="http://schemas.openxmlformats.org/officeDocument/2006/relationships/hyperlink" Target="https://sh.com.br/pt/" TargetMode="External"/><Relationship Id="rId35" Type="http://schemas.openxmlformats.org/officeDocument/2006/relationships/hyperlink" Target="https://goo.gl/maps/9pqSWpirAXNTsjP26" TargetMode="External"/><Relationship Id="rId34" Type="http://schemas.openxmlformats.org/officeDocument/2006/relationships/hyperlink" Target="https://orguel.com.br/" TargetMode="External"/><Relationship Id="rId37" Type="http://schemas.openxmlformats.org/officeDocument/2006/relationships/hyperlink" Target="https://www.facebook.com/atexbrasil/followers" TargetMode="External"/><Relationship Id="rId36" Type="http://schemas.openxmlformats.org/officeDocument/2006/relationships/hyperlink" Target="https://www.instagram.com/mecanoficial/" TargetMode="External"/><Relationship Id="rId39" Type="http://schemas.openxmlformats.org/officeDocument/2006/relationships/hyperlink" Target="https://www.youtube.com/@perigroup" TargetMode="External"/><Relationship Id="rId38" Type="http://schemas.openxmlformats.org/officeDocument/2006/relationships/hyperlink" Target="https://www.linkedin.com/company/atex-do-brasil/" TargetMode="External"/><Relationship Id="rId20" Type="http://schemas.openxmlformats.org/officeDocument/2006/relationships/hyperlink" Target="https://www.instagram.com/pericorporate/" TargetMode="External"/><Relationship Id="rId22" Type="http://schemas.openxmlformats.org/officeDocument/2006/relationships/hyperlink" Target="https://www.linkedin.com/company/orpec" TargetMode="External"/><Relationship Id="rId21" Type="http://schemas.openxmlformats.org/officeDocument/2006/relationships/hyperlink" Target="https://www.facebook.com/shbrasil/followers" TargetMode="External"/><Relationship Id="rId24" Type="http://schemas.openxmlformats.org/officeDocument/2006/relationships/hyperlink" Target="https://www.ulmaconstruction.com.br/pt-br" TargetMode="External"/><Relationship Id="rId23" Type="http://schemas.openxmlformats.org/officeDocument/2006/relationships/hyperlink" Target="https://www.youtube.com/@Ulmaconstruction" TargetMode="External"/><Relationship Id="rId26" Type="http://schemas.openxmlformats.org/officeDocument/2006/relationships/hyperlink" Target="https://rohr.com.br/" TargetMode="External"/><Relationship Id="rId25" Type="http://schemas.openxmlformats.org/officeDocument/2006/relationships/hyperlink" Target="https://pashal.com/" TargetMode="External"/><Relationship Id="rId28" Type="http://schemas.openxmlformats.org/officeDocument/2006/relationships/hyperlink" Target="https://www.instagram.com/millsoficial" TargetMode="External"/><Relationship Id="rId27" Type="http://schemas.openxmlformats.org/officeDocument/2006/relationships/hyperlink" Target="https://www.google.com/search?q=sh+formas&amp;rlz=1C1CHZN_pt-BRBR1105BR1105&amp;oq=sh+formas&amp;gs_lcrp=EgZjaHJvbWUqDAgAECMYJxiABBiKBTIMCAAQIxgnGIAEGIoFMhUIARAuGEMYrwEYxwEYgAQYigUYjgUyBwgCEAAYgAQyBwgDEAAYgAQyDAgEEAAYQxiABBiKBTIHCAUQABiABDIGCAYQRRg8MgYIBxBFGDzSAQgyOT" TargetMode="External"/><Relationship Id="rId29" Type="http://schemas.openxmlformats.org/officeDocument/2006/relationships/hyperlink" Target="https://www.facebook.com/millsbr/followers" TargetMode="External"/><Relationship Id="rId95" Type="http://schemas.openxmlformats.org/officeDocument/2006/relationships/hyperlink" Target="https://goo.gl/maps/9pqSWpirAXNTsjP26" TargetMode="External"/><Relationship Id="rId94" Type="http://schemas.openxmlformats.org/officeDocument/2006/relationships/hyperlink" Target="https://www.google.com/search?q=sh+formas&amp;rlz=1C1CHZN_pt-BRBR1105BR1105&amp;oq=sh+formas&amp;gs_lcrp=EgZjaHJvbWUqDAgAECMYJxiABBiKBTIMCAAQIxgnGIAEGIoFMhUIARAuGEMYrwEYxwEYgAQYigUYjgUyBwgCEAAYgAQyBwgDEAAYgAQyDAgEEAAYQxiABBiKBTIHCAUQABiABDIGCAYQRRg8MgYIBxBFGDzSAQgyOT" TargetMode="External"/><Relationship Id="rId97" Type="http://schemas.openxmlformats.org/officeDocument/2006/relationships/hyperlink" Target="https://goo.gl/maps/ngGDLsjkVgaSqQQq7" TargetMode="External"/><Relationship Id="rId96" Type="http://schemas.openxmlformats.org/officeDocument/2006/relationships/hyperlink" Target="https://goo.gl/maps/tDcq1YLYbk2kTeCW6" TargetMode="External"/><Relationship Id="rId11" Type="http://schemas.openxmlformats.org/officeDocument/2006/relationships/hyperlink" Target="https://goo.gl/maps/deupwzr6JjtAEBC17" TargetMode="External"/><Relationship Id="rId99" Type="http://schemas.openxmlformats.org/officeDocument/2006/relationships/hyperlink" Target="https://goo.gl/maps/dwEURbC79T8ENous5" TargetMode="External"/><Relationship Id="rId10" Type="http://schemas.openxmlformats.org/officeDocument/2006/relationships/hyperlink" Target="https://mecan.com.br/" TargetMode="External"/><Relationship Id="rId98" Type="http://schemas.openxmlformats.org/officeDocument/2006/relationships/hyperlink" Target="https://www.google.com/maps/place/Orguel+Unidade+Curitiba/@-25.3687533,-49.0866824,17z/data=!3m1!4b1!4m6!3m5!1s0x94dcfade7ce4d971:0x419fde96ed8f7d20!8m2!3d-25.3687534!4d-49.0818061!16s%2Fg%2F1ptxw2918?entry=ttu&amp;g_ep=EgoyMDI0MDkyNS4wIKXMDSoASAFQAw%3D%3D" TargetMode="External"/><Relationship Id="rId13" Type="http://schemas.openxmlformats.org/officeDocument/2006/relationships/hyperlink" Target="https://www.facebook.com/peribrasil.1996/followers" TargetMode="External"/><Relationship Id="rId12" Type="http://schemas.openxmlformats.org/officeDocument/2006/relationships/hyperlink" Target="https://www.instagram.com/orgueloficial/" TargetMode="External"/><Relationship Id="rId91" Type="http://schemas.openxmlformats.org/officeDocument/2006/relationships/hyperlink" Target="https://www.ulmaconstruction.com.br/pt-br" TargetMode="External"/><Relationship Id="rId90" Type="http://schemas.openxmlformats.org/officeDocument/2006/relationships/hyperlink" Target="https://atexformwork.com/" TargetMode="External"/><Relationship Id="rId93" Type="http://schemas.openxmlformats.org/officeDocument/2006/relationships/hyperlink" Target="https://goo.gl/maps/oLXR5eXWV6hpaP817" TargetMode="External"/><Relationship Id="rId92" Type="http://schemas.openxmlformats.org/officeDocument/2006/relationships/hyperlink" Target="https://goo.gl/maps/deupwzr6JjtAEBC17" TargetMode="External"/><Relationship Id="rId15" Type="http://schemas.openxmlformats.org/officeDocument/2006/relationships/hyperlink" Target="https://www.youtube.com/@orpecpr" TargetMode="External"/><Relationship Id="rId14" Type="http://schemas.openxmlformats.org/officeDocument/2006/relationships/hyperlink" Target="https://www.linkedin.com/company/peribrasil/" TargetMode="External"/><Relationship Id="rId17" Type="http://schemas.openxmlformats.org/officeDocument/2006/relationships/hyperlink" Target="https://mecan.com.br/" TargetMode="External"/><Relationship Id="rId16" Type="http://schemas.openxmlformats.org/officeDocument/2006/relationships/hyperlink" Target="https://atexformwork.com/" TargetMode="External"/><Relationship Id="rId19" Type="http://schemas.openxmlformats.org/officeDocument/2006/relationships/hyperlink" Target="https://goo.gl/maps/oLXR5eXWV6hpaP817" TargetMode="External"/><Relationship Id="rId18" Type="http://schemas.openxmlformats.org/officeDocument/2006/relationships/hyperlink" Target="https://sh.com.br/pt/" TargetMode="External"/><Relationship Id="rId84" Type="http://schemas.openxmlformats.org/officeDocument/2006/relationships/hyperlink" Target="https://www.youtube.com/@mecan_oficial" TargetMode="External"/><Relationship Id="rId83" Type="http://schemas.openxmlformats.org/officeDocument/2006/relationships/hyperlink" Target="https://www.linkedin.com/company/shbrasil/" TargetMode="External"/><Relationship Id="rId86" Type="http://schemas.openxmlformats.org/officeDocument/2006/relationships/hyperlink" Target="https://orpecengenharia.com.br/" TargetMode="External"/><Relationship Id="rId85" Type="http://schemas.openxmlformats.org/officeDocument/2006/relationships/hyperlink" Target="https://orguel.com.br/" TargetMode="External"/><Relationship Id="rId88" Type="http://schemas.openxmlformats.org/officeDocument/2006/relationships/hyperlink" Target="https://www.peri.com.br/" TargetMode="External"/><Relationship Id="rId87" Type="http://schemas.openxmlformats.org/officeDocument/2006/relationships/hyperlink" Target="https://pashal.com/" TargetMode="External"/><Relationship Id="rId89" Type="http://schemas.openxmlformats.org/officeDocument/2006/relationships/hyperlink" Target="https://www.mills.com.br/" TargetMode="External"/><Relationship Id="rId80" Type="http://schemas.openxmlformats.org/officeDocument/2006/relationships/hyperlink" Target="https://www.ulmaconstruction.com.br/pt-br" TargetMode="External"/><Relationship Id="rId82" Type="http://schemas.openxmlformats.org/officeDocument/2006/relationships/hyperlink" Target="https://www.facebook.com/ULMAArchitecturalSolutions/followers" TargetMode="External"/><Relationship Id="rId81" Type="http://schemas.openxmlformats.org/officeDocument/2006/relationships/hyperlink" Target="https://www.instagram.com/ulmaarchitectural/" TargetMode="External"/><Relationship Id="rId1" Type="http://schemas.openxmlformats.org/officeDocument/2006/relationships/hyperlink" Target="https://www.woorank.com/pt" TargetMode="External"/><Relationship Id="rId2" Type="http://schemas.openxmlformats.org/officeDocument/2006/relationships/hyperlink" Target="https://orguel.com.br/" TargetMode="External"/><Relationship Id="rId3" Type="http://schemas.openxmlformats.org/officeDocument/2006/relationships/hyperlink" Target="https://mecan.com.br/" TargetMode="External"/><Relationship Id="rId4" Type="http://schemas.openxmlformats.org/officeDocument/2006/relationships/hyperlink" Target="https://pashal.com/" TargetMode="External"/><Relationship Id="rId9" Type="http://schemas.openxmlformats.org/officeDocument/2006/relationships/hyperlink" Target="https://orguel.com.br/" TargetMode="External"/><Relationship Id="rId5" Type="http://schemas.openxmlformats.org/officeDocument/2006/relationships/hyperlink" Target="https://www.mills.com.br/" TargetMode="External"/><Relationship Id="rId6" Type="http://schemas.openxmlformats.org/officeDocument/2006/relationships/hyperlink" Target="https://orpecengenharia.com.br/" TargetMode="External"/><Relationship Id="rId7" Type="http://schemas.openxmlformats.org/officeDocument/2006/relationships/hyperlink" Target="https://www.peri.com.br/" TargetMode="External"/><Relationship Id="rId8" Type="http://schemas.openxmlformats.org/officeDocument/2006/relationships/hyperlink" Target="https://rohr.com.br/" TargetMode="External"/><Relationship Id="rId73" Type="http://schemas.openxmlformats.org/officeDocument/2006/relationships/hyperlink" Target="https://goo.gl/maps/UF4srRC7e94eKXyg6" TargetMode="External"/><Relationship Id="rId72" Type="http://schemas.openxmlformats.org/officeDocument/2006/relationships/hyperlink" Target="https://atexformwork.com/" TargetMode="External"/><Relationship Id="rId75" Type="http://schemas.openxmlformats.org/officeDocument/2006/relationships/hyperlink" Target="https://www.facebook.com/PashalLocadoraEquipamentos/followers" TargetMode="External"/><Relationship Id="rId74" Type="http://schemas.openxmlformats.org/officeDocument/2006/relationships/hyperlink" Target="https://www.instagram.com/rohr.engenharia/" TargetMode="External"/><Relationship Id="rId77" Type="http://schemas.openxmlformats.org/officeDocument/2006/relationships/hyperlink" Target="https://www.youtube.com/@Pashal" TargetMode="External"/><Relationship Id="rId76" Type="http://schemas.openxmlformats.org/officeDocument/2006/relationships/hyperlink" Target="https://www.linkedin.com/company/mecanoficial/" TargetMode="External"/><Relationship Id="rId79" Type="http://schemas.openxmlformats.org/officeDocument/2006/relationships/hyperlink" Target="https://sh.com.br/pt/" TargetMode="External"/><Relationship Id="rId78" Type="http://schemas.openxmlformats.org/officeDocument/2006/relationships/hyperlink" Target="https://rohr.com.br/" TargetMode="External"/><Relationship Id="rId71" Type="http://schemas.openxmlformats.org/officeDocument/2006/relationships/hyperlink" Target="https://www.ulmaconstruction.com.br/pt-br" TargetMode="External"/><Relationship Id="rId70" Type="http://schemas.openxmlformats.org/officeDocument/2006/relationships/hyperlink" Target="https://sh.com.br/pt/" TargetMode="External"/><Relationship Id="rId62" Type="http://schemas.openxmlformats.org/officeDocument/2006/relationships/hyperlink" Target="https://mecan.com.br/" TargetMode="External"/><Relationship Id="rId61" Type="http://schemas.openxmlformats.org/officeDocument/2006/relationships/hyperlink" Target="https://www.youtube.com/@rohr.engenharia" TargetMode="External"/><Relationship Id="rId64" Type="http://schemas.openxmlformats.org/officeDocument/2006/relationships/hyperlink" Target="https://www.mills.com.br/" TargetMode="External"/><Relationship Id="rId63" Type="http://schemas.openxmlformats.org/officeDocument/2006/relationships/hyperlink" Target="https://atexformwork.com/" TargetMode="External"/><Relationship Id="rId66" Type="http://schemas.openxmlformats.org/officeDocument/2006/relationships/hyperlink" Target="https://www.instagram.com/atex_brasil/" TargetMode="External"/><Relationship Id="rId65" Type="http://schemas.openxmlformats.org/officeDocument/2006/relationships/hyperlink" Target="https://goo.gl/maps/dwEURbC79T8ENous5" TargetMode="External"/><Relationship Id="rId68" Type="http://schemas.openxmlformats.org/officeDocument/2006/relationships/hyperlink" Target="https://www.linkedin.com/company/ulma-cye/" TargetMode="External"/><Relationship Id="rId67" Type="http://schemas.openxmlformats.org/officeDocument/2006/relationships/hyperlink" Target="https://www.facebook.com/Mecanoficial" TargetMode="External"/><Relationship Id="rId60" Type="http://schemas.openxmlformats.org/officeDocument/2006/relationships/hyperlink" Target="https://www.linkedin.com/company/orguel/" TargetMode="External"/><Relationship Id="rId69" Type="http://schemas.openxmlformats.org/officeDocument/2006/relationships/hyperlink" Target="https://www.youtube.com/@orguel_oficial" TargetMode="External"/><Relationship Id="rId51" Type="http://schemas.openxmlformats.org/officeDocument/2006/relationships/hyperlink" Target="https://www.instagram.com/pashal.official/" TargetMode="External"/><Relationship Id="rId50" Type="http://schemas.openxmlformats.org/officeDocument/2006/relationships/hyperlink" Target="https://goo.gl/maps/ngGDLsjkVgaSqQQq7" TargetMode="External"/><Relationship Id="rId53" Type="http://schemas.openxmlformats.org/officeDocument/2006/relationships/hyperlink" Target="https://www.linkedin.com/company/pashal-locadora-de-equipamentos/" TargetMode="External"/><Relationship Id="rId52" Type="http://schemas.openxmlformats.org/officeDocument/2006/relationships/hyperlink" Target="https://www.facebook.com/organizacaoguerralages/followers" TargetMode="External"/><Relationship Id="rId55" Type="http://schemas.openxmlformats.org/officeDocument/2006/relationships/hyperlink" Target="https://rohr.com.br/" TargetMode="External"/><Relationship Id="rId54" Type="http://schemas.openxmlformats.org/officeDocument/2006/relationships/hyperlink" Target="https://www.youtube.com/@canalmills" TargetMode="External"/><Relationship Id="rId57" Type="http://schemas.openxmlformats.org/officeDocument/2006/relationships/hyperlink" Target="https://www.google.com/maps/place/Orguel+Unidade+Curitiba/@-25.3687533,-49.0866824,17z/data=!3m1!4b1!4m6!3m5!1s0x94dcfade7ce4d971:0x419fde96ed8f7d20!8m2!3d-25.3687534!4d-49.0818061!16s%2Fg%2F1ptxw2918?entry=ttu&amp;g_ep=EgoyMDI0MDkyNS4wIKXMDSoASAFQAw%3D%3D" TargetMode="External"/><Relationship Id="rId56" Type="http://schemas.openxmlformats.org/officeDocument/2006/relationships/hyperlink" Target="https://www.peri.com.br/" TargetMode="External"/><Relationship Id="rId59" Type="http://schemas.openxmlformats.org/officeDocument/2006/relationships/hyperlink" Target="https://www.facebook.com/orpecpr/" TargetMode="External"/><Relationship Id="rId58" Type="http://schemas.openxmlformats.org/officeDocument/2006/relationships/hyperlink" Target="https://www.instagram.com/orpec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56"/>
    <col customWidth="1" min="2" max="2" width="9.44"/>
    <col customWidth="1" min="3" max="3" width="10.44"/>
    <col customWidth="1" min="4" max="4" width="7.22"/>
    <col customWidth="1" min="5" max="7" width="20.89"/>
  </cols>
  <sheetData>
    <row r="1" ht="9.0" customHeight="1">
      <c r="B1" s="1"/>
      <c r="C1" s="2"/>
      <c r="D1" s="2"/>
      <c r="E1" s="2"/>
      <c r="F1" s="2"/>
      <c r="G1" s="1"/>
    </row>
    <row r="2" ht="15.75" customHeight="1">
      <c r="B2" s="3" t="s">
        <v>0</v>
      </c>
      <c r="C2" s="4"/>
      <c r="D2" s="2"/>
      <c r="E2" s="2"/>
      <c r="F2" s="2"/>
      <c r="G2" s="1"/>
    </row>
    <row r="3" ht="15.75" customHeight="1">
      <c r="B3" s="5" t="s">
        <v>1</v>
      </c>
      <c r="C3" s="6" t="s">
        <v>2</v>
      </c>
      <c r="D3" s="2"/>
      <c r="E3" s="1"/>
      <c r="F3" s="1"/>
      <c r="G3" s="1"/>
    </row>
    <row r="4" ht="15.75" customHeight="1">
      <c r="A4" s="7"/>
      <c r="B4" s="8" t="s">
        <v>3</v>
      </c>
      <c r="C4" s="9">
        <v>141.0</v>
      </c>
      <c r="D4" s="2"/>
      <c r="E4" s="1"/>
      <c r="F4" s="1"/>
      <c r="G4" s="1"/>
    </row>
    <row r="5" ht="15.75" customHeight="1">
      <c r="A5" s="7"/>
      <c r="B5" s="8" t="s">
        <v>4</v>
      </c>
      <c r="C5" s="9">
        <v>52.0</v>
      </c>
      <c r="D5" s="2"/>
      <c r="E5" s="1"/>
      <c r="F5" s="1"/>
      <c r="G5" s="1"/>
    </row>
    <row r="6" ht="15.75" customHeight="1">
      <c r="A6" s="7"/>
      <c r="B6" s="8" t="s">
        <v>5</v>
      </c>
      <c r="C6" s="9">
        <v>51.0</v>
      </c>
      <c r="D6" s="2"/>
      <c r="E6" s="1"/>
      <c r="F6" s="1"/>
      <c r="G6" s="1"/>
    </row>
    <row r="7" ht="15.75" customHeight="1">
      <c r="A7" s="7"/>
      <c r="B7" s="8" t="s">
        <v>6</v>
      </c>
      <c r="C7" s="9">
        <v>40.0</v>
      </c>
      <c r="D7" s="2"/>
      <c r="E7" s="1"/>
      <c r="F7" s="1"/>
      <c r="G7" s="1"/>
    </row>
    <row r="8" ht="15.75" customHeight="1">
      <c r="A8" s="7"/>
      <c r="B8" s="8" t="s">
        <v>7</v>
      </c>
      <c r="C8" s="9">
        <v>38.0</v>
      </c>
      <c r="D8" s="2"/>
      <c r="E8" s="1"/>
      <c r="F8" s="1"/>
      <c r="G8" s="1"/>
    </row>
    <row r="9" ht="15.75" customHeight="1">
      <c r="A9" s="7"/>
      <c r="B9" s="10" t="s">
        <v>8</v>
      </c>
      <c r="C9" s="9">
        <v>26.0</v>
      </c>
      <c r="D9" s="2"/>
      <c r="E9" s="1"/>
      <c r="F9" s="1"/>
      <c r="G9" s="1"/>
    </row>
    <row r="10" ht="60.0" customHeight="1">
      <c r="A10" s="7"/>
      <c r="B10" s="1"/>
      <c r="C10" s="1"/>
      <c r="D10" s="1"/>
      <c r="E10" s="1"/>
      <c r="F10" s="1"/>
      <c r="G10" s="1"/>
    </row>
    <row r="11" ht="15.75" customHeight="1">
      <c r="A11" s="7"/>
      <c r="B11" s="11" t="s">
        <v>9</v>
      </c>
      <c r="C11" s="1"/>
      <c r="D11" s="1"/>
      <c r="E11" s="1"/>
      <c r="F11" s="1"/>
      <c r="G11" s="1"/>
    </row>
    <row r="12" ht="15.75" customHeight="1">
      <c r="B12" s="12" t="s">
        <v>1</v>
      </c>
      <c r="C12" s="13" t="s">
        <v>10</v>
      </c>
      <c r="D12" s="1"/>
      <c r="E12" s="1"/>
      <c r="F12" s="1"/>
      <c r="G12" s="1"/>
    </row>
    <row r="13" ht="15.75" customHeight="1">
      <c r="A13" s="14">
        <v>7.0</v>
      </c>
      <c r="B13" s="15" t="s">
        <v>6</v>
      </c>
      <c r="C13" s="16">
        <v>129431.0</v>
      </c>
      <c r="D13" s="1"/>
      <c r="E13" s="1"/>
      <c r="F13" s="1"/>
      <c r="G13" s="1"/>
    </row>
    <row r="14" ht="15.75" customHeight="1">
      <c r="A14" s="14">
        <v>7.0</v>
      </c>
      <c r="B14" s="15" t="s">
        <v>3</v>
      </c>
      <c r="C14" s="16">
        <v>23044.0</v>
      </c>
      <c r="D14" s="1"/>
      <c r="E14" s="1"/>
      <c r="F14" s="1"/>
      <c r="G14" s="1"/>
    </row>
    <row r="15" ht="15.75" customHeight="1">
      <c r="A15" s="14">
        <v>7.0</v>
      </c>
      <c r="B15" s="15" t="s">
        <v>7</v>
      </c>
      <c r="C15" s="16">
        <v>13135.0</v>
      </c>
      <c r="D15" s="1"/>
      <c r="E15" s="1"/>
      <c r="F15" s="1"/>
      <c r="G15" s="1"/>
    </row>
    <row r="16" ht="15.75" customHeight="1">
      <c r="A16" s="14">
        <v>7.0</v>
      </c>
      <c r="B16" s="15" t="s">
        <v>5</v>
      </c>
      <c r="C16" s="16">
        <v>7419.0</v>
      </c>
      <c r="D16" s="1"/>
      <c r="E16" s="1"/>
      <c r="F16" s="1"/>
      <c r="G16" s="1"/>
    </row>
    <row r="17" ht="15.75" customHeight="1">
      <c r="A17" s="14">
        <v>7.0</v>
      </c>
      <c r="B17" s="17" t="s">
        <v>8</v>
      </c>
      <c r="C17" s="16">
        <v>6780.0</v>
      </c>
      <c r="D17" s="1"/>
      <c r="E17" s="1"/>
      <c r="F17" s="1"/>
      <c r="G17" s="1"/>
    </row>
    <row r="18" ht="15.75" customHeight="1">
      <c r="A18" s="14">
        <v>7.0</v>
      </c>
      <c r="B18" s="15" t="s">
        <v>4</v>
      </c>
      <c r="C18" s="18">
        <v>293.0</v>
      </c>
      <c r="D18" s="1"/>
      <c r="E18" s="1"/>
      <c r="F18" s="1"/>
      <c r="G18" s="1"/>
    </row>
    <row r="19" ht="55.5" customHeight="1">
      <c r="A19" s="14"/>
      <c r="B19" s="1"/>
      <c r="C19" s="2"/>
      <c r="D19" s="2"/>
      <c r="E19" s="2"/>
      <c r="F19" s="2"/>
      <c r="G19" s="1"/>
    </row>
    <row r="20" ht="15.75" customHeight="1">
      <c r="B20" s="19" t="s">
        <v>11</v>
      </c>
      <c r="C20" s="20"/>
      <c r="D20" s="21"/>
      <c r="E20" s="21"/>
      <c r="F20" s="21"/>
      <c r="G20" s="1"/>
    </row>
    <row r="21" ht="21.0" customHeight="1">
      <c r="B21" s="22" t="s">
        <v>1</v>
      </c>
      <c r="C21" s="22" t="s">
        <v>2</v>
      </c>
      <c r="D21" s="1"/>
      <c r="E21" s="1"/>
      <c r="F21" s="1"/>
      <c r="G21" s="1"/>
    </row>
    <row r="22" ht="15.75" customHeight="1">
      <c r="A22" s="7"/>
      <c r="B22" s="17" t="s">
        <v>8</v>
      </c>
      <c r="C22" s="23">
        <v>0.1676</v>
      </c>
      <c r="D22" s="24"/>
      <c r="E22" s="1"/>
      <c r="F22" s="1"/>
      <c r="G22" s="1"/>
    </row>
    <row r="23" ht="15.75" customHeight="1">
      <c r="A23" s="7"/>
      <c r="B23" s="25" t="s">
        <v>5</v>
      </c>
      <c r="C23" s="23">
        <v>0.1434</v>
      </c>
      <c r="D23" s="24"/>
      <c r="E23" s="1"/>
      <c r="F23" s="1"/>
      <c r="G23" s="1"/>
    </row>
    <row r="24" ht="15.75" customHeight="1">
      <c r="A24" s="7"/>
      <c r="B24" s="17" t="s">
        <v>7</v>
      </c>
      <c r="C24" s="23">
        <v>0.1366</v>
      </c>
      <c r="D24" s="24"/>
      <c r="E24" s="1"/>
      <c r="F24" s="1"/>
      <c r="G24" s="1"/>
    </row>
    <row r="25" ht="15.75" customHeight="1">
      <c r="A25" s="7"/>
      <c r="B25" s="17" t="s">
        <v>4</v>
      </c>
      <c r="C25" s="23">
        <v>0.0388</v>
      </c>
      <c r="D25" s="24"/>
      <c r="E25" s="1"/>
      <c r="F25" s="1"/>
      <c r="G25" s="1"/>
    </row>
    <row r="26" ht="15.75" customHeight="1">
      <c r="A26" s="7"/>
      <c r="B26" s="17" t="s">
        <v>3</v>
      </c>
      <c r="C26" s="23">
        <v>0.0147</v>
      </c>
      <c r="D26" s="24"/>
      <c r="E26" s="1"/>
      <c r="F26" s="1"/>
      <c r="G26" s="1"/>
    </row>
    <row r="27" ht="15.75" customHeight="1">
      <c r="A27" s="7"/>
      <c r="B27" s="17" t="s">
        <v>6</v>
      </c>
      <c r="C27" s="23">
        <v>0.0079</v>
      </c>
      <c r="D27" s="24"/>
      <c r="E27" s="1"/>
      <c r="F27" s="1"/>
      <c r="G27" s="1"/>
    </row>
    <row r="28" ht="56.25" customHeight="1">
      <c r="A28" s="7"/>
      <c r="B28" s="1"/>
      <c r="C28" s="2"/>
      <c r="D28" s="2"/>
      <c r="E28" s="2"/>
      <c r="F28" s="2"/>
      <c r="G28" s="1"/>
    </row>
    <row r="29" ht="15.75" customHeight="1">
      <c r="B29" s="26" t="s">
        <v>12</v>
      </c>
      <c r="C29" s="27"/>
      <c r="D29" s="2"/>
      <c r="E29" s="2"/>
      <c r="F29" s="2"/>
      <c r="G29" s="1"/>
    </row>
    <row r="30" ht="28.5" customHeight="1">
      <c r="A30" s="28"/>
      <c r="B30" s="29" t="s">
        <v>1</v>
      </c>
      <c r="C30" s="29" t="s">
        <v>2</v>
      </c>
      <c r="D30" s="27"/>
      <c r="E30" s="27"/>
      <c r="F30" s="28"/>
      <c r="G30" s="28"/>
    </row>
    <row r="31" ht="15.75" customHeight="1">
      <c r="A31" s="7"/>
      <c r="B31" s="17" t="s">
        <v>7</v>
      </c>
      <c r="C31" s="23">
        <v>0.0209</v>
      </c>
      <c r="D31" s="2"/>
      <c r="E31" s="2"/>
      <c r="F31" s="1"/>
      <c r="G31" s="1"/>
    </row>
    <row r="32" ht="15.75" customHeight="1">
      <c r="A32" s="7"/>
      <c r="B32" s="17" t="s">
        <v>8</v>
      </c>
      <c r="C32" s="23">
        <v>0.0189</v>
      </c>
      <c r="D32" s="2"/>
      <c r="E32" s="2"/>
      <c r="F32" s="1"/>
      <c r="G32" s="1"/>
    </row>
    <row r="33" ht="15.75" customHeight="1">
      <c r="B33" s="17" t="s">
        <v>3</v>
      </c>
      <c r="C33" s="23">
        <v>0.0</v>
      </c>
      <c r="D33" s="2"/>
      <c r="E33" s="2"/>
      <c r="F33" s="1"/>
      <c r="G33" s="1"/>
    </row>
    <row r="34" ht="15.75" customHeight="1">
      <c r="A34" s="7"/>
      <c r="B34" s="17" t="s">
        <v>6</v>
      </c>
      <c r="C34" s="23">
        <v>0.0</v>
      </c>
      <c r="D34" s="2"/>
      <c r="E34" s="2"/>
      <c r="F34" s="1"/>
      <c r="G34" s="1"/>
    </row>
    <row r="35" ht="15.75" customHeight="1">
      <c r="B35" s="17" t="s">
        <v>5</v>
      </c>
      <c r="C35" s="23">
        <v>0.0</v>
      </c>
      <c r="D35" s="2"/>
      <c r="E35" s="2"/>
      <c r="F35" s="1"/>
      <c r="G35" s="1"/>
    </row>
    <row r="36" ht="15.75" customHeight="1">
      <c r="A36" s="7"/>
      <c r="B36" s="17" t="s">
        <v>4</v>
      </c>
      <c r="C36" s="23">
        <v>0.0</v>
      </c>
      <c r="D36" s="2"/>
      <c r="E36" s="2"/>
      <c r="F36" s="1"/>
      <c r="G36" s="1"/>
    </row>
    <row r="37" ht="42.0" customHeight="1">
      <c r="B37" s="1"/>
      <c r="C37" s="30"/>
      <c r="D37" s="2"/>
      <c r="E37" s="2"/>
      <c r="F37" s="2"/>
      <c r="G37" s="1"/>
    </row>
  </sheetData>
  <mergeCells count="1">
    <mergeCell ref="B20:C20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3"/>
    <hyperlink r:id="rId9" ref="B14"/>
    <hyperlink r:id="rId10" ref="B15"/>
    <hyperlink r:id="rId11" ref="B16"/>
    <hyperlink r:id="rId12" ref="B17"/>
    <hyperlink r:id="rId13" ref="B18"/>
    <hyperlink r:id="rId14" ref="B22"/>
    <hyperlink r:id="rId15" ref="B23"/>
    <hyperlink r:id="rId16" ref="B24"/>
    <hyperlink r:id="rId17" ref="B25"/>
    <hyperlink r:id="rId18" ref="B26"/>
    <hyperlink r:id="rId19" ref="B27"/>
    <hyperlink r:id="rId20" ref="B31"/>
    <hyperlink r:id="rId21" ref="B32"/>
    <hyperlink r:id="rId22" ref="B33"/>
    <hyperlink r:id="rId23" ref="B34"/>
    <hyperlink r:id="rId24" ref="B35"/>
    <hyperlink r:id="rId25" ref="B36"/>
  </hyperlinks>
  <printOptions/>
  <pageMargins bottom="0.787401575" footer="0.0" header="0.0" left="0.511811024" right="0.511811024" top="0.8194444444444445"/>
  <pageSetup scale="45" orientation="portrait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27.11"/>
    <col customWidth="1" min="3" max="3" width="10.56"/>
    <col customWidth="1" min="4" max="4" width="10.22"/>
    <col customWidth="1" min="5" max="5" width="10.0"/>
    <col customWidth="1" min="6" max="6" width="9.89"/>
    <col customWidth="1" min="7" max="9" width="10.44"/>
    <col customWidth="1" min="10" max="10" width="11.44"/>
    <col customWidth="1" min="11" max="12" width="10.44"/>
    <col customWidth="1" min="13" max="13" width="40.22"/>
    <col customWidth="1" min="14" max="14" width="8.22"/>
    <col customWidth="1" min="15" max="15" width="9.44"/>
    <col customWidth="1" min="16" max="16" width="8.0"/>
    <col customWidth="1" min="17" max="17" width="9.89"/>
    <col customWidth="1" min="18" max="18" width="8.89"/>
    <col customWidth="1" min="19" max="19" width="8.44"/>
    <col customWidth="1" min="20" max="20" width="8.0"/>
    <col customWidth="1" min="21" max="21" width="8.22"/>
    <col customWidth="1" min="22" max="27" width="2.56"/>
  </cols>
  <sheetData>
    <row r="1" ht="10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B2" s="31" t="s">
        <v>13</v>
      </c>
      <c r="C2" s="1"/>
      <c r="D2" s="1"/>
      <c r="E2" s="1"/>
      <c r="F2" s="1"/>
      <c r="G2" s="1"/>
      <c r="H2" s="1"/>
      <c r="I2" s="1"/>
      <c r="J2" s="1"/>
      <c r="K2" s="1"/>
    </row>
    <row r="3" ht="15.75" customHeight="1">
      <c r="B3" s="13" t="s">
        <v>1</v>
      </c>
      <c r="C3" s="32" t="s">
        <v>14</v>
      </c>
      <c r="D3" s="32"/>
      <c r="E3" s="1"/>
      <c r="F3" s="1"/>
      <c r="G3" s="1"/>
      <c r="H3" s="1"/>
      <c r="I3" s="1"/>
      <c r="J3" s="1"/>
      <c r="K3" s="1"/>
    </row>
    <row r="4" ht="15.75" customHeight="1">
      <c r="A4" s="7"/>
      <c r="B4" s="15" t="s">
        <v>5</v>
      </c>
      <c r="C4" s="32">
        <v>79.0</v>
      </c>
      <c r="D4" s="32"/>
      <c r="E4" s="1"/>
      <c r="F4" s="1"/>
      <c r="G4" s="1"/>
      <c r="H4" s="1"/>
      <c r="I4" s="1"/>
      <c r="J4" s="1"/>
      <c r="K4" s="1"/>
    </row>
    <row r="5" ht="15.75" customHeight="1">
      <c r="A5" s="7"/>
      <c r="B5" s="17" t="s">
        <v>4</v>
      </c>
      <c r="C5" s="32">
        <v>75.0</v>
      </c>
      <c r="D5" s="32"/>
      <c r="E5" s="1"/>
      <c r="F5" s="1"/>
      <c r="G5" s="1"/>
      <c r="H5" s="1"/>
      <c r="I5" s="1"/>
      <c r="J5" s="1"/>
      <c r="K5" s="1"/>
    </row>
    <row r="6" ht="15.75" customHeight="1">
      <c r="A6" s="7"/>
      <c r="B6" s="17" t="s">
        <v>3</v>
      </c>
      <c r="C6" s="32">
        <v>73.0</v>
      </c>
      <c r="D6" s="32"/>
      <c r="E6" s="1"/>
      <c r="F6" s="1"/>
      <c r="G6" s="1"/>
      <c r="H6" s="1"/>
      <c r="I6" s="1"/>
      <c r="J6" s="1"/>
      <c r="K6" s="1"/>
    </row>
    <row r="7" ht="15.75" customHeight="1">
      <c r="A7" s="7"/>
      <c r="B7" s="25" t="s">
        <v>8</v>
      </c>
      <c r="C7" s="32">
        <v>71.0</v>
      </c>
      <c r="D7" s="32"/>
      <c r="E7" s="1"/>
      <c r="F7" s="1"/>
      <c r="G7" s="1"/>
      <c r="H7" s="1"/>
      <c r="I7" s="1"/>
      <c r="J7" s="1"/>
      <c r="K7" s="1"/>
    </row>
    <row r="8" ht="15.75" customHeight="1">
      <c r="A8" s="33"/>
      <c r="B8" s="17" t="s">
        <v>7</v>
      </c>
      <c r="C8" s="32">
        <v>65.0</v>
      </c>
      <c r="D8" s="32"/>
      <c r="E8" s="1"/>
      <c r="F8" s="1"/>
      <c r="G8" s="1"/>
      <c r="H8" s="1"/>
      <c r="I8" s="1"/>
      <c r="J8" s="1"/>
      <c r="K8" s="1"/>
    </row>
    <row r="9" ht="15.75" customHeight="1">
      <c r="A9" s="7"/>
      <c r="B9" s="25" t="s">
        <v>6</v>
      </c>
      <c r="C9" s="32">
        <v>0.0</v>
      </c>
      <c r="D9" s="32"/>
      <c r="E9" s="1"/>
      <c r="F9" s="1"/>
      <c r="G9" s="1"/>
      <c r="H9" s="1"/>
      <c r="I9" s="1"/>
      <c r="J9" s="1"/>
      <c r="K9" s="1"/>
      <c r="M9" s="34" t="s">
        <v>15</v>
      </c>
      <c r="N9" s="35"/>
      <c r="O9" s="35"/>
      <c r="P9" s="35"/>
      <c r="Q9" s="35"/>
      <c r="R9" s="35"/>
      <c r="S9" s="35"/>
      <c r="T9" s="35"/>
      <c r="U9" s="36"/>
    </row>
    <row r="10" ht="56.25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M10" s="13" t="s">
        <v>1</v>
      </c>
      <c r="N10" s="37" t="s">
        <v>16</v>
      </c>
      <c r="O10" s="13" t="s">
        <v>17</v>
      </c>
      <c r="P10" s="13" t="s">
        <v>18</v>
      </c>
      <c r="Q10" s="37" t="s">
        <v>19</v>
      </c>
      <c r="R10" s="37" t="s">
        <v>20</v>
      </c>
      <c r="S10" s="37" t="s">
        <v>21</v>
      </c>
      <c r="T10" s="13" t="s">
        <v>22</v>
      </c>
      <c r="U10" s="13" t="s">
        <v>23</v>
      </c>
    </row>
    <row r="11" ht="15.75" customHeight="1">
      <c r="B11" s="38" t="s">
        <v>24</v>
      </c>
      <c r="C11" s="39"/>
      <c r="D11" s="39"/>
      <c r="E11" s="40"/>
      <c r="F11" s="1"/>
      <c r="G11" s="1"/>
      <c r="H11" s="1"/>
      <c r="I11" s="1"/>
      <c r="J11" s="1"/>
      <c r="K11" s="1"/>
      <c r="M11" s="41" t="s">
        <v>3</v>
      </c>
      <c r="N11" s="42">
        <v>4.0</v>
      </c>
      <c r="O11" s="42">
        <v>2.0</v>
      </c>
      <c r="P11" s="42">
        <v>3.0</v>
      </c>
      <c r="Q11" s="43">
        <v>6.0</v>
      </c>
      <c r="R11" s="43">
        <v>5.0</v>
      </c>
      <c r="S11" s="43">
        <v>2.0</v>
      </c>
      <c r="T11" s="44">
        <v>4.0</v>
      </c>
      <c r="U11" s="45">
        <f t="shared" ref="U11:U16" si="1">SUM(N11:T11)</f>
        <v>26</v>
      </c>
    </row>
    <row r="12" ht="15.75" customHeight="1">
      <c r="B12" s="6" t="s">
        <v>1</v>
      </c>
      <c r="C12" s="46" t="s">
        <v>25</v>
      </c>
      <c r="D12" s="46"/>
      <c r="E12" s="40"/>
      <c r="F12" s="1"/>
      <c r="G12" s="1"/>
      <c r="H12" s="1"/>
      <c r="I12" s="1"/>
      <c r="J12" s="1"/>
      <c r="K12" s="1"/>
      <c r="M12" s="41" t="s">
        <v>5</v>
      </c>
      <c r="N12" s="42">
        <v>6.0</v>
      </c>
      <c r="O12" s="42">
        <v>5.0</v>
      </c>
      <c r="P12" s="42">
        <v>1.0</v>
      </c>
      <c r="Q12" s="43">
        <v>4.0</v>
      </c>
      <c r="R12" s="43">
        <v>3.0</v>
      </c>
      <c r="S12" s="43">
        <v>5.0</v>
      </c>
      <c r="T12" s="44">
        <v>2.0</v>
      </c>
      <c r="U12" s="45">
        <f t="shared" si="1"/>
        <v>26</v>
      </c>
    </row>
    <row r="13" ht="15.75" customHeight="1">
      <c r="B13" s="47" t="s">
        <v>6</v>
      </c>
      <c r="C13" s="46">
        <v>98.5</v>
      </c>
      <c r="D13" s="46"/>
      <c r="E13" s="40"/>
      <c r="F13" s="1"/>
      <c r="G13" s="1"/>
      <c r="H13" s="1"/>
      <c r="I13" s="1"/>
      <c r="J13" s="1"/>
      <c r="K13" s="1"/>
      <c r="M13" s="41" t="s">
        <v>6</v>
      </c>
      <c r="N13" s="42">
        <v>1.0</v>
      </c>
      <c r="O13" s="42">
        <v>6.0</v>
      </c>
      <c r="P13" s="42">
        <v>5.0</v>
      </c>
      <c r="Q13" s="43">
        <v>3.0</v>
      </c>
      <c r="R13" s="43">
        <v>6.0</v>
      </c>
      <c r="S13" s="43">
        <v>1.0</v>
      </c>
      <c r="T13" s="44">
        <v>3.0</v>
      </c>
      <c r="U13" s="45">
        <f t="shared" si="1"/>
        <v>25</v>
      </c>
    </row>
    <row r="14" ht="15.75" customHeight="1">
      <c r="B14" s="48" t="s">
        <v>5</v>
      </c>
      <c r="C14" s="46">
        <v>86.5</v>
      </c>
      <c r="D14" s="46"/>
      <c r="E14" s="40"/>
      <c r="F14" s="1"/>
      <c r="G14" s="1"/>
      <c r="H14" s="1"/>
      <c r="I14" s="1"/>
      <c r="J14" s="1"/>
      <c r="K14" s="1"/>
      <c r="M14" s="41" t="s">
        <v>7</v>
      </c>
      <c r="N14" s="42">
        <v>2.0</v>
      </c>
      <c r="O14" s="42">
        <v>1.0</v>
      </c>
      <c r="P14" s="42">
        <v>6.0</v>
      </c>
      <c r="Q14" s="43">
        <v>2.0</v>
      </c>
      <c r="R14" s="43">
        <v>4.0</v>
      </c>
      <c r="S14" s="43">
        <v>4.0</v>
      </c>
      <c r="T14" s="44">
        <v>6.0</v>
      </c>
      <c r="U14" s="45">
        <f t="shared" si="1"/>
        <v>25</v>
      </c>
    </row>
    <row r="15" ht="15.75" customHeight="1">
      <c r="B15" s="47" t="s">
        <v>8</v>
      </c>
      <c r="C15" s="46">
        <v>80.5</v>
      </c>
      <c r="D15" s="46"/>
      <c r="E15" s="40"/>
      <c r="F15" s="1"/>
      <c r="G15" s="1"/>
      <c r="H15" s="1"/>
      <c r="I15" s="1"/>
      <c r="J15" s="1"/>
      <c r="K15" s="1"/>
      <c r="M15" s="41" t="s">
        <v>8</v>
      </c>
      <c r="N15" s="42">
        <v>3.0</v>
      </c>
      <c r="O15" s="42">
        <v>4.0</v>
      </c>
      <c r="P15" s="42">
        <v>2.0</v>
      </c>
      <c r="Q15" s="43">
        <v>1.0</v>
      </c>
      <c r="R15" s="43">
        <v>2.0</v>
      </c>
      <c r="S15" s="43">
        <v>6.0</v>
      </c>
      <c r="T15" s="44">
        <v>5.0</v>
      </c>
      <c r="U15" s="45">
        <f t="shared" si="1"/>
        <v>23</v>
      </c>
    </row>
    <row r="16" ht="15.75" customHeight="1">
      <c r="B16" s="49" t="s">
        <v>4</v>
      </c>
      <c r="C16" s="46">
        <v>76.0</v>
      </c>
      <c r="D16" s="46"/>
      <c r="E16" s="40"/>
      <c r="F16" s="1"/>
      <c r="G16" s="1"/>
      <c r="H16" s="1"/>
      <c r="I16" s="1"/>
      <c r="J16" s="1"/>
      <c r="K16" s="1"/>
      <c r="M16" s="41" t="s">
        <v>4</v>
      </c>
      <c r="N16" s="42">
        <v>5.0</v>
      </c>
      <c r="O16" s="42">
        <v>3.0</v>
      </c>
      <c r="P16" s="42">
        <v>4.0</v>
      </c>
      <c r="Q16" s="43">
        <v>5.0</v>
      </c>
      <c r="R16" s="43">
        <v>1.0</v>
      </c>
      <c r="S16" s="43">
        <v>3.0</v>
      </c>
      <c r="T16" s="44">
        <v>1.0</v>
      </c>
      <c r="U16" s="45">
        <f t="shared" si="1"/>
        <v>22</v>
      </c>
    </row>
    <row r="17" ht="15.75" customHeight="1">
      <c r="B17" s="49" t="s">
        <v>3</v>
      </c>
      <c r="C17" s="46">
        <v>54.5</v>
      </c>
      <c r="D17" s="46"/>
      <c r="E17" s="40"/>
      <c r="F17" s="1"/>
      <c r="G17" s="1"/>
      <c r="H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</row>
    <row r="18" ht="15.75" customHeight="1">
      <c r="B18" s="49" t="s">
        <v>7</v>
      </c>
      <c r="C18" s="46">
        <v>49.0</v>
      </c>
      <c r="D18" s="46"/>
      <c r="E18" s="40"/>
      <c r="F18" s="1"/>
      <c r="G18" s="1"/>
      <c r="H18" s="1"/>
      <c r="I18" s="1"/>
      <c r="J18" s="1"/>
      <c r="K18" s="1"/>
      <c r="M18" s="50" t="s">
        <v>26</v>
      </c>
      <c r="N18" s="35"/>
      <c r="O18" s="35"/>
      <c r="P18" s="35"/>
      <c r="Q18" s="35"/>
      <c r="R18" s="35"/>
      <c r="S18" s="35"/>
      <c r="T18" s="35"/>
      <c r="U18" s="36"/>
    </row>
    <row r="19" ht="59.25" customHeight="1">
      <c r="B19" s="51"/>
      <c r="C19" s="39"/>
      <c r="D19" s="39"/>
      <c r="E19" s="40"/>
      <c r="F19" s="1"/>
      <c r="G19" s="1"/>
      <c r="H19" s="1"/>
      <c r="I19" s="1"/>
      <c r="J19" s="1"/>
      <c r="K19" s="1"/>
      <c r="M19" s="13" t="s">
        <v>1</v>
      </c>
      <c r="N19" s="37" t="s">
        <v>16</v>
      </c>
      <c r="O19" s="13" t="s">
        <v>17</v>
      </c>
      <c r="P19" s="13" t="s">
        <v>18</v>
      </c>
      <c r="Q19" s="37" t="s">
        <v>19</v>
      </c>
      <c r="R19" s="37" t="s">
        <v>20</v>
      </c>
      <c r="S19" s="37" t="s">
        <v>21</v>
      </c>
      <c r="T19" s="13" t="s">
        <v>22</v>
      </c>
      <c r="U19" s="13" t="s">
        <v>23</v>
      </c>
    </row>
    <row r="20" ht="15.75" customHeight="1">
      <c r="B20" s="52" t="s">
        <v>27</v>
      </c>
      <c r="C20" s="36"/>
      <c r="D20" s="1"/>
      <c r="E20" s="1"/>
      <c r="F20" s="1"/>
      <c r="G20" s="1"/>
      <c r="H20" s="1"/>
      <c r="I20" s="1"/>
      <c r="J20" s="1"/>
      <c r="K20" s="1"/>
      <c r="M20" s="41" t="s">
        <v>3</v>
      </c>
      <c r="N20" s="42">
        <f t="shared" ref="N20:O20" si="2">N11*5</f>
        <v>20</v>
      </c>
      <c r="O20" s="42">
        <f t="shared" si="2"/>
        <v>10</v>
      </c>
      <c r="P20" s="42">
        <f t="shared" ref="P20:Q20" si="3">P11*3</f>
        <v>9</v>
      </c>
      <c r="Q20" s="43">
        <f t="shared" si="3"/>
        <v>18</v>
      </c>
      <c r="R20" s="43">
        <f t="shared" ref="R20:R25" si="6">R11*1</f>
        <v>5</v>
      </c>
      <c r="S20" s="43">
        <f t="shared" ref="S20:S25" si="7">S11*4</f>
        <v>8</v>
      </c>
      <c r="T20" s="44">
        <f t="shared" ref="T20:T25" si="8">T11*2</f>
        <v>8</v>
      </c>
      <c r="U20" s="45">
        <f t="shared" ref="U20:U25" si="9">SUM(N20:T20)</f>
        <v>78</v>
      </c>
    </row>
    <row r="21" ht="15.75" customHeight="1">
      <c r="A21" s="14">
        <v>5.0</v>
      </c>
      <c r="B21" s="13" t="s">
        <v>1</v>
      </c>
      <c r="C21" s="32" t="s">
        <v>28</v>
      </c>
      <c r="D21" s="1"/>
      <c r="E21" s="32"/>
      <c r="F21" s="1"/>
      <c r="G21" s="1"/>
      <c r="H21" s="1"/>
      <c r="I21" s="1"/>
      <c r="J21" s="1"/>
      <c r="K21" s="1"/>
      <c r="M21" s="41" t="s">
        <v>5</v>
      </c>
      <c r="N21" s="42">
        <f t="shared" ref="N21:O21" si="4">N12*5</f>
        <v>30</v>
      </c>
      <c r="O21" s="42">
        <f t="shared" si="4"/>
        <v>25</v>
      </c>
      <c r="P21" s="42">
        <f t="shared" ref="P21:Q21" si="5">P12*3</f>
        <v>3</v>
      </c>
      <c r="Q21" s="43">
        <f t="shared" si="5"/>
        <v>12</v>
      </c>
      <c r="R21" s="43">
        <f t="shared" si="6"/>
        <v>3</v>
      </c>
      <c r="S21" s="43">
        <f t="shared" si="7"/>
        <v>20</v>
      </c>
      <c r="T21" s="44">
        <f t="shared" si="8"/>
        <v>4</v>
      </c>
      <c r="U21" s="45">
        <f t="shared" si="9"/>
        <v>97</v>
      </c>
    </row>
    <row r="22" ht="15.75" customHeight="1">
      <c r="A22" s="7"/>
      <c r="B22" s="17" t="s">
        <v>7</v>
      </c>
      <c r="C22" s="32">
        <v>145.2</v>
      </c>
      <c r="D22" s="1"/>
      <c r="E22" s="32"/>
      <c r="F22" s="1"/>
      <c r="G22" s="1"/>
      <c r="H22" s="1"/>
      <c r="I22" s="1"/>
      <c r="J22" s="1"/>
      <c r="K22" s="1"/>
      <c r="M22" s="41" t="s">
        <v>6</v>
      </c>
      <c r="N22" s="42">
        <f t="shared" ref="N22:O22" si="10">N13*5</f>
        <v>5</v>
      </c>
      <c r="O22" s="42">
        <f t="shared" si="10"/>
        <v>30</v>
      </c>
      <c r="P22" s="42">
        <f t="shared" ref="P22:Q22" si="11">P13*3</f>
        <v>15</v>
      </c>
      <c r="Q22" s="43">
        <f t="shared" si="11"/>
        <v>9</v>
      </c>
      <c r="R22" s="43">
        <f t="shared" si="6"/>
        <v>6</v>
      </c>
      <c r="S22" s="43">
        <f t="shared" si="7"/>
        <v>4</v>
      </c>
      <c r="T22" s="44">
        <f t="shared" si="8"/>
        <v>6</v>
      </c>
      <c r="U22" s="45">
        <f t="shared" si="9"/>
        <v>75</v>
      </c>
    </row>
    <row r="23" ht="15.75" customHeight="1">
      <c r="A23" s="7"/>
      <c r="B23" s="25" t="s">
        <v>6</v>
      </c>
      <c r="C23" s="32">
        <v>84.48</v>
      </c>
      <c r="D23" s="1"/>
      <c r="E23" s="32"/>
      <c r="F23" s="1"/>
      <c r="G23" s="1"/>
      <c r="H23" s="1"/>
      <c r="I23" s="1"/>
      <c r="J23" s="1"/>
      <c r="K23" s="1"/>
      <c r="M23" s="41" t="s">
        <v>7</v>
      </c>
      <c r="N23" s="42">
        <f t="shared" ref="N23:O23" si="12">N14*5</f>
        <v>10</v>
      </c>
      <c r="O23" s="42">
        <f t="shared" si="12"/>
        <v>5</v>
      </c>
      <c r="P23" s="42">
        <f t="shared" ref="P23:Q23" si="13">P14*3</f>
        <v>18</v>
      </c>
      <c r="Q23" s="43">
        <f t="shared" si="13"/>
        <v>6</v>
      </c>
      <c r="R23" s="43">
        <f t="shared" si="6"/>
        <v>4</v>
      </c>
      <c r="S23" s="43">
        <f t="shared" si="7"/>
        <v>16</v>
      </c>
      <c r="T23" s="44">
        <f t="shared" si="8"/>
        <v>12</v>
      </c>
      <c r="U23" s="45">
        <f t="shared" si="9"/>
        <v>71</v>
      </c>
    </row>
    <row r="24" ht="15.75" customHeight="1">
      <c r="A24" s="7"/>
      <c r="B24" s="17" t="s">
        <v>4</v>
      </c>
      <c r="C24" s="32">
        <v>55.2</v>
      </c>
      <c r="D24" s="1"/>
      <c r="E24" s="32"/>
      <c r="F24" s="1"/>
      <c r="G24" s="1"/>
      <c r="H24" s="1"/>
      <c r="I24" s="1"/>
      <c r="J24" s="1"/>
      <c r="K24" s="1"/>
      <c r="M24" s="41" t="s">
        <v>8</v>
      </c>
      <c r="N24" s="42">
        <f t="shared" ref="N24:O24" si="14">N15*5</f>
        <v>15</v>
      </c>
      <c r="O24" s="42">
        <f t="shared" si="14"/>
        <v>20</v>
      </c>
      <c r="P24" s="42">
        <f t="shared" ref="P24:Q24" si="15">P15*3</f>
        <v>6</v>
      </c>
      <c r="Q24" s="43">
        <f t="shared" si="15"/>
        <v>3</v>
      </c>
      <c r="R24" s="43">
        <f t="shared" si="6"/>
        <v>2</v>
      </c>
      <c r="S24" s="43">
        <f t="shared" si="7"/>
        <v>24</v>
      </c>
      <c r="T24" s="44">
        <f t="shared" si="8"/>
        <v>10</v>
      </c>
      <c r="U24" s="45">
        <f t="shared" si="9"/>
        <v>80</v>
      </c>
    </row>
    <row r="25" ht="15.75" customHeight="1">
      <c r="A25" s="7"/>
      <c r="B25" s="17" t="s">
        <v>3</v>
      </c>
      <c r="C25" s="32">
        <v>52.44</v>
      </c>
      <c r="D25" s="1"/>
      <c r="E25" s="32"/>
      <c r="F25" s="1"/>
      <c r="G25" s="1"/>
      <c r="H25" s="1"/>
      <c r="I25" s="1"/>
      <c r="J25" s="1"/>
      <c r="K25" s="1"/>
      <c r="M25" s="41" t="s">
        <v>4</v>
      </c>
      <c r="N25" s="42">
        <f t="shared" ref="N25:O25" si="16">N16*5</f>
        <v>25</v>
      </c>
      <c r="O25" s="42">
        <f t="shared" si="16"/>
        <v>15</v>
      </c>
      <c r="P25" s="42">
        <f t="shared" ref="P25:Q25" si="17">P16*3</f>
        <v>12</v>
      </c>
      <c r="Q25" s="43">
        <f t="shared" si="17"/>
        <v>15</v>
      </c>
      <c r="R25" s="43">
        <f t="shared" si="6"/>
        <v>1</v>
      </c>
      <c r="S25" s="43">
        <f t="shared" si="7"/>
        <v>12</v>
      </c>
      <c r="T25" s="44">
        <f t="shared" si="8"/>
        <v>2</v>
      </c>
      <c r="U25" s="45">
        <f t="shared" si="9"/>
        <v>82</v>
      </c>
    </row>
    <row r="26" ht="15.75" customHeight="1">
      <c r="A26" s="7"/>
      <c r="B26" s="17" t="s">
        <v>8</v>
      </c>
      <c r="C26" s="32">
        <v>50.76</v>
      </c>
      <c r="D26" s="1"/>
      <c r="E26" s="32"/>
      <c r="F26" s="1"/>
      <c r="G26" s="1"/>
      <c r="H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7"/>
      <c r="B27" s="25" t="s">
        <v>5</v>
      </c>
      <c r="C27" s="32">
        <v>43.12</v>
      </c>
      <c r="D27" s="1"/>
      <c r="E27" s="32"/>
      <c r="F27" s="1"/>
      <c r="G27" s="1"/>
      <c r="H27" s="1"/>
      <c r="I27" s="1"/>
      <c r="J27" s="1"/>
      <c r="K27" s="1"/>
      <c r="M27" s="13" t="s">
        <v>1</v>
      </c>
      <c r="N27" s="13" t="s">
        <v>23</v>
      </c>
      <c r="O27" s="1"/>
      <c r="P27" s="1"/>
      <c r="Q27" s="1"/>
      <c r="R27" s="1"/>
      <c r="S27" s="1"/>
      <c r="T27" s="1"/>
      <c r="U27" s="1"/>
    </row>
    <row r="28" ht="57.0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M28" s="41" t="s">
        <v>5</v>
      </c>
      <c r="N28" s="53">
        <v>97.0</v>
      </c>
      <c r="O28" s="1"/>
      <c r="P28" s="1"/>
      <c r="Q28" s="1"/>
      <c r="R28" s="1"/>
      <c r="S28" s="1"/>
      <c r="T28" s="1"/>
      <c r="U28" s="1"/>
      <c r="V28" s="7"/>
      <c r="W28" s="7"/>
      <c r="X28" s="7"/>
      <c r="Y28" s="7"/>
      <c r="Z28" s="7"/>
      <c r="AA28" s="7"/>
    </row>
    <row r="29" ht="15.75" customHeight="1">
      <c r="B29" s="13"/>
      <c r="C29" s="37"/>
      <c r="D29" s="37"/>
      <c r="E29" s="37"/>
      <c r="F29" s="54"/>
      <c r="G29" s="1"/>
      <c r="H29" s="1"/>
      <c r="I29" s="1"/>
      <c r="J29" s="1"/>
      <c r="K29" s="1"/>
      <c r="L29" s="1"/>
      <c r="M29" s="41" t="s">
        <v>4</v>
      </c>
      <c r="N29" s="53">
        <v>82.0</v>
      </c>
      <c r="O29" s="1"/>
      <c r="P29" s="1"/>
      <c r="Q29" s="1"/>
      <c r="R29" s="1"/>
      <c r="S29" s="1"/>
      <c r="T29" s="1"/>
      <c r="U29" s="1"/>
    </row>
    <row r="30" ht="15.75" customHeight="1">
      <c r="B30" s="13"/>
      <c r="C30" s="55"/>
      <c r="D30" s="56"/>
      <c r="E30" s="41"/>
      <c r="F30" s="41"/>
      <c r="G30" s="51"/>
      <c r="H30" s="1"/>
      <c r="I30" s="1"/>
      <c r="J30" s="1"/>
      <c r="K30" s="1"/>
      <c r="L30" s="1"/>
      <c r="M30" s="41" t="s">
        <v>8</v>
      </c>
      <c r="N30" s="53">
        <v>80.0</v>
      </c>
      <c r="O30" s="1"/>
      <c r="P30" s="1"/>
      <c r="Q30" s="1"/>
      <c r="R30" s="1"/>
      <c r="S30" s="1"/>
      <c r="T30" s="1"/>
      <c r="U30" s="1"/>
    </row>
    <row r="31" ht="15.75" customHeight="1">
      <c r="B31" s="13"/>
      <c r="C31" s="55"/>
      <c r="D31" s="56"/>
      <c r="E31" s="57"/>
      <c r="F31" s="41"/>
      <c r="G31" s="51"/>
      <c r="H31" s="1"/>
      <c r="I31" s="1"/>
      <c r="J31" s="1"/>
      <c r="K31" s="1"/>
      <c r="L31" s="1"/>
      <c r="M31" s="41" t="s">
        <v>3</v>
      </c>
      <c r="N31" s="53">
        <v>78.0</v>
      </c>
      <c r="O31" s="1"/>
      <c r="P31" s="1"/>
      <c r="Q31" s="1"/>
      <c r="R31" s="1"/>
      <c r="S31" s="1"/>
      <c r="T31" s="1"/>
      <c r="U31" s="1"/>
    </row>
    <row r="32" ht="15.75" customHeight="1">
      <c r="B32" s="13"/>
      <c r="C32" s="55"/>
      <c r="D32" s="56"/>
      <c r="E32" s="41"/>
      <c r="F32" s="41"/>
      <c r="G32" s="51"/>
      <c r="H32" s="1"/>
      <c r="I32" s="1"/>
      <c r="J32" s="1"/>
      <c r="K32" s="1"/>
      <c r="L32" s="1"/>
      <c r="M32" s="41" t="s">
        <v>6</v>
      </c>
      <c r="N32" s="53">
        <v>75.0</v>
      </c>
      <c r="O32" s="1"/>
      <c r="P32" s="1"/>
      <c r="Q32" s="1"/>
      <c r="R32" s="1"/>
      <c r="S32" s="1"/>
      <c r="T32" s="1"/>
      <c r="U32" s="1"/>
    </row>
    <row r="33" ht="15.75" customHeight="1">
      <c r="B33" s="13"/>
      <c r="C33" s="55"/>
      <c r="D33" s="56"/>
      <c r="E33" s="41"/>
      <c r="F33" s="41"/>
      <c r="G33" s="51"/>
      <c r="H33" s="1"/>
      <c r="I33" s="1"/>
      <c r="J33" s="1"/>
      <c r="K33" s="1"/>
      <c r="L33" s="1"/>
      <c r="M33" s="41" t="s">
        <v>7</v>
      </c>
      <c r="N33" s="53">
        <v>71.0</v>
      </c>
      <c r="O33" s="1"/>
      <c r="P33" s="1"/>
      <c r="Q33" s="1"/>
      <c r="R33" s="1"/>
      <c r="S33" s="1"/>
      <c r="T33" s="1"/>
      <c r="U33" s="1"/>
    </row>
    <row r="34" ht="15.75" customHeight="1">
      <c r="B34" s="13"/>
      <c r="C34" s="55"/>
      <c r="D34" s="41"/>
      <c r="E34" s="41"/>
      <c r="F34" s="41"/>
      <c r="G34" s="5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B35" s="13"/>
      <c r="C35" s="58"/>
      <c r="D35" s="56"/>
      <c r="E35" s="41"/>
      <c r="F35" s="41"/>
      <c r="G35" s="51"/>
      <c r="H35" s="1"/>
      <c r="I35" s="1"/>
      <c r="J35" s="1"/>
      <c r="K35" s="1"/>
      <c r="L35" s="1"/>
      <c r="M35" s="59" t="s">
        <v>29</v>
      </c>
      <c r="N35" s="35"/>
      <c r="O35" s="35"/>
      <c r="P35" s="35"/>
      <c r="Q35" s="35"/>
      <c r="R35" s="35"/>
      <c r="S35" s="35"/>
      <c r="T35" s="36"/>
      <c r="U35" s="1"/>
    </row>
    <row r="36" ht="54.75" customHeight="1">
      <c r="B36" s="1"/>
      <c r="C36" s="1"/>
      <c r="D36" s="1"/>
      <c r="E36" s="60"/>
      <c r="F36" s="51"/>
      <c r="G36" s="1"/>
      <c r="H36" s="1"/>
      <c r="I36" s="1"/>
      <c r="J36" s="1"/>
      <c r="K36" s="1"/>
      <c r="M36" s="61"/>
      <c r="N36" s="62" t="s">
        <v>30</v>
      </c>
      <c r="O36" s="62" t="s">
        <v>31</v>
      </c>
      <c r="P36" s="63" t="s">
        <v>32</v>
      </c>
      <c r="Q36" s="64" t="s">
        <v>33</v>
      </c>
      <c r="R36" s="63" t="s">
        <v>34</v>
      </c>
      <c r="S36" s="62" t="s">
        <v>35</v>
      </c>
      <c r="T36" s="62" t="s">
        <v>36</v>
      </c>
      <c r="U36" s="1"/>
    </row>
    <row r="37" ht="15.75" customHeight="1">
      <c r="B37" s="34"/>
      <c r="C37" s="35"/>
      <c r="D37" s="35"/>
      <c r="E37" s="35"/>
      <c r="F37" s="35"/>
      <c r="G37" s="36"/>
      <c r="H37" s="1"/>
      <c r="I37" s="1"/>
      <c r="J37" s="1"/>
      <c r="K37" s="1"/>
      <c r="M37" s="61" t="s">
        <v>19</v>
      </c>
      <c r="N37" s="65">
        <v>3.0</v>
      </c>
      <c r="O37" s="65">
        <v>5.0</v>
      </c>
      <c r="P37" s="66">
        <f t="shared" ref="P37:P42" si="18">N37*O37</f>
        <v>15</v>
      </c>
      <c r="Q37" s="67">
        <v>2.0</v>
      </c>
      <c r="R37" s="66">
        <f t="shared" ref="R37:R42" si="19">N37*Q37</f>
        <v>6</v>
      </c>
      <c r="S37" s="68">
        <f t="shared" ref="S37:S43" si="20">R37/P37</f>
        <v>0.4</v>
      </c>
      <c r="T37" s="68">
        <f t="shared" ref="T37:T42" si="21">S37*N37</f>
        <v>1.2</v>
      </c>
      <c r="U37" s="1"/>
    </row>
    <row r="38" ht="15.75" customHeight="1">
      <c r="B38" s="13"/>
      <c r="C38" s="37"/>
      <c r="D38" s="37"/>
      <c r="E38" s="37"/>
      <c r="F38" s="13"/>
      <c r="G38" s="13"/>
      <c r="H38" s="1"/>
      <c r="I38" s="1"/>
      <c r="J38" s="1"/>
      <c r="K38" s="1"/>
      <c r="L38" s="1"/>
      <c r="M38" s="61" t="s">
        <v>20</v>
      </c>
      <c r="N38" s="65">
        <v>1.0</v>
      </c>
      <c r="O38" s="65">
        <v>5.0</v>
      </c>
      <c r="P38" s="66">
        <f t="shared" si="18"/>
        <v>5</v>
      </c>
      <c r="Q38" s="67">
        <v>2.0</v>
      </c>
      <c r="R38" s="66">
        <f t="shared" si="19"/>
        <v>2</v>
      </c>
      <c r="S38" s="68">
        <f t="shared" si="20"/>
        <v>0.4</v>
      </c>
      <c r="T38" s="68">
        <f t="shared" si="21"/>
        <v>0.4</v>
      </c>
      <c r="U38" s="1"/>
      <c r="V38" s="7"/>
      <c r="W38" s="7"/>
      <c r="X38" s="7"/>
      <c r="Y38" s="7"/>
      <c r="Z38" s="7"/>
      <c r="AA38" s="7"/>
    </row>
    <row r="39" ht="15.75" customHeight="1">
      <c r="A39" s="69"/>
      <c r="B39" s="41"/>
      <c r="C39" s="43"/>
      <c r="D39" s="43"/>
      <c r="E39" s="43"/>
      <c r="F39" s="44"/>
      <c r="G39" s="45"/>
      <c r="H39" s="70"/>
      <c r="I39" s="1"/>
      <c r="J39" s="1"/>
      <c r="K39" s="1"/>
      <c r="L39" s="1"/>
      <c r="M39" s="61" t="s">
        <v>21</v>
      </c>
      <c r="N39" s="65">
        <v>4.0</v>
      </c>
      <c r="O39" s="65">
        <v>5.0</v>
      </c>
      <c r="P39" s="66">
        <f t="shared" si="18"/>
        <v>20</v>
      </c>
      <c r="Q39" s="67">
        <v>4.0</v>
      </c>
      <c r="R39" s="66">
        <f t="shared" si="19"/>
        <v>16</v>
      </c>
      <c r="S39" s="68">
        <f t="shared" si="20"/>
        <v>0.8</v>
      </c>
      <c r="T39" s="68">
        <f t="shared" si="21"/>
        <v>3.2</v>
      </c>
      <c r="U39" s="1"/>
      <c r="V39" s="7"/>
      <c r="W39" s="7"/>
      <c r="X39" s="7"/>
      <c r="Y39" s="7"/>
      <c r="Z39" s="7"/>
      <c r="AA39" s="7"/>
    </row>
    <row r="40" ht="15.75" customHeight="1">
      <c r="A40" s="71"/>
      <c r="B40" s="41"/>
      <c r="C40" s="43"/>
      <c r="D40" s="43"/>
      <c r="E40" s="43"/>
      <c r="F40" s="44"/>
      <c r="G40" s="45"/>
      <c r="H40" s="70"/>
      <c r="I40" s="1"/>
      <c r="J40" s="1"/>
      <c r="K40" s="1"/>
      <c r="L40" s="1"/>
      <c r="M40" s="61" t="s">
        <v>22</v>
      </c>
      <c r="N40" s="65">
        <v>2.0</v>
      </c>
      <c r="O40" s="65">
        <v>5.0</v>
      </c>
      <c r="P40" s="66">
        <f t="shared" si="18"/>
        <v>10</v>
      </c>
      <c r="Q40" s="67">
        <v>4.0</v>
      </c>
      <c r="R40" s="66">
        <f t="shared" si="19"/>
        <v>8</v>
      </c>
      <c r="S40" s="68">
        <f t="shared" si="20"/>
        <v>0.8</v>
      </c>
      <c r="T40" s="68">
        <f t="shared" si="21"/>
        <v>1.6</v>
      </c>
      <c r="U40" s="70"/>
      <c r="V40" s="7"/>
      <c r="W40" s="7"/>
      <c r="X40" s="7"/>
      <c r="Y40" s="7"/>
      <c r="Z40" s="7"/>
      <c r="AA40" s="7"/>
    </row>
    <row r="41" ht="15.75" customHeight="1">
      <c r="A41" s="71"/>
      <c r="B41" s="41"/>
      <c r="C41" s="43"/>
      <c r="D41" s="43"/>
      <c r="E41" s="43"/>
      <c r="F41" s="44"/>
      <c r="G41" s="45"/>
      <c r="H41" s="70"/>
      <c r="I41" s="1"/>
      <c r="J41" s="1"/>
      <c r="K41" s="1"/>
      <c r="L41" s="1"/>
      <c r="M41" s="61" t="s">
        <v>37</v>
      </c>
      <c r="N41" s="65">
        <v>5.0</v>
      </c>
      <c r="O41" s="65">
        <v>5.0</v>
      </c>
      <c r="P41" s="66">
        <f t="shared" si="18"/>
        <v>25</v>
      </c>
      <c r="Q41" s="67">
        <v>4.0</v>
      </c>
      <c r="R41" s="66">
        <f t="shared" si="19"/>
        <v>20</v>
      </c>
      <c r="S41" s="68">
        <f t="shared" si="20"/>
        <v>0.8</v>
      </c>
      <c r="T41" s="68">
        <f t="shared" si="21"/>
        <v>4</v>
      </c>
      <c r="U41" s="1"/>
    </row>
    <row r="42" ht="15.75" customHeight="1">
      <c r="A42" s="71"/>
      <c r="B42" s="41"/>
      <c r="C42" s="43"/>
      <c r="D42" s="43"/>
      <c r="E42" s="43"/>
      <c r="F42" s="44"/>
      <c r="G42" s="45"/>
      <c r="H42" s="70"/>
      <c r="I42" s="1"/>
      <c r="J42" s="1"/>
      <c r="K42" s="1"/>
      <c r="L42" s="1"/>
      <c r="M42" s="61" t="s">
        <v>18</v>
      </c>
      <c r="N42" s="65">
        <v>3.0</v>
      </c>
      <c r="O42" s="65">
        <v>5.0</v>
      </c>
      <c r="P42" s="66">
        <f t="shared" si="18"/>
        <v>15</v>
      </c>
      <c r="Q42" s="67">
        <v>3.0</v>
      </c>
      <c r="R42" s="66">
        <f t="shared" si="19"/>
        <v>9</v>
      </c>
      <c r="S42" s="68">
        <f t="shared" si="20"/>
        <v>0.6</v>
      </c>
      <c r="T42" s="68">
        <f t="shared" si="21"/>
        <v>1.8</v>
      </c>
      <c r="U42" s="1"/>
    </row>
    <row r="43" ht="15.75" customHeight="1">
      <c r="A43" s="71"/>
      <c r="B43" s="41"/>
      <c r="C43" s="43"/>
      <c r="D43" s="43"/>
      <c r="E43" s="43"/>
      <c r="F43" s="44"/>
      <c r="G43" s="45"/>
      <c r="H43" s="70"/>
      <c r="I43" s="1"/>
      <c r="J43" s="1"/>
      <c r="K43" s="1"/>
      <c r="L43" s="1"/>
      <c r="M43" s="72"/>
      <c r="N43" s="62">
        <f t="shared" ref="N43:R43" si="22">SUM(N37:N42)</f>
        <v>18</v>
      </c>
      <c r="O43" s="62">
        <f t="shared" si="22"/>
        <v>30</v>
      </c>
      <c r="P43" s="62">
        <f t="shared" si="22"/>
        <v>90</v>
      </c>
      <c r="Q43" s="62">
        <f t="shared" si="22"/>
        <v>19</v>
      </c>
      <c r="R43" s="62">
        <f t="shared" si="22"/>
        <v>61</v>
      </c>
      <c r="S43" s="68">
        <f t="shared" si="20"/>
        <v>0.6777777778</v>
      </c>
      <c r="T43" s="73">
        <f>SUM(T37:T42)</f>
        <v>12.2</v>
      </c>
      <c r="U43" s="70"/>
    </row>
    <row r="44" ht="15.75" customHeight="1">
      <c r="A44" s="71"/>
      <c r="B44" s="41"/>
      <c r="C44" s="43"/>
      <c r="D44" s="43"/>
      <c r="E44" s="43"/>
      <c r="F44" s="44"/>
      <c r="G44" s="45"/>
      <c r="H44" s="70"/>
      <c r="I44" s="1"/>
      <c r="J44" s="1"/>
      <c r="K44" s="1"/>
      <c r="L44" s="1"/>
      <c r="M44" s="72"/>
      <c r="N44" s="72"/>
      <c r="O44" s="72"/>
      <c r="P44" s="74"/>
      <c r="Q44" s="72"/>
      <c r="R44" s="74"/>
      <c r="S44" s="72"/>
      <c r="T44" s="73">
        <f>T43/N43</f>
        <v>0.6777777778</v>
      </c>
      <c r="U44" s="70"/>
      <c r="V44" s="7"/>
      <c r="W44" s="7"/>
      <c r="X44" s="7"/>
      <c r="Y44" s="7"/>
      <c r="Z44" s="7"/>
      <c r="AA44" s="7"/>
    </row>
    <row r="45" ht="15.75" customHeight="1">
      <c r="B45" s="1"/>
      <c r="C45" s="75"/>
      <c r="D45" s="75"/>
      <c r="E45" s="76"/>
      <c r="F45" s="1"/>
      <c r="G45" s="70"/>
      <c r="H45" s="77"/>
      <c r="I45" s="70"/>
      <c r="J45" s="70"/>
      <c r="K45" s="70"/>
      <c r="L45" s="7"/>
    </row>
  </sheetData>
  <mergeCells count="5">
    <mergeCell ref="M9:U9"/>
    <mergeCell ref="M18:U18"/>
    <mergeCell ref="B37:G37"/>
    <mergeCell ref="B20:C20"/>
    <mergeCell ref="M35:T35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1"/>
    <hyperlink r:id="rId9" ref="B13"/>
    <hyperlink r:id="rId10" ref="B14"/>
    <hyperlink r:id="rId11" ref="B15"/>
    <hyperlink r:id="rId12" ref="B16"/>
    <hyperlink r:id="rId13" ref="B17"/>
    <hyperlink r:id="rId14" ref="B18"/>
    <hyperlink r:id="rId15" ref="B22"/>
    <hyperlink r:id="rId16" ref="B23"/>
    <hyperlink r:id="rId17" ref="B24"/>
    <hyperlink r:id="rId18" ref="B25"/>
    <hyperlink r:id="rId19" ref="B26"/>
    <hyperlink r:id="rId20" ref="B27"/>
  </hyperlinks>
  <printOptions/>
  <pageMargins bottom="0.787401575" footer="0.0" header="0.0" left="0.511811024" right="0.511811024" top="0.787401575"/>
  <pageSetup orientation="landscape"/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56"/>
    <col customWidth="1" min="2" max="2" width="14.78"/>
    <col customWidth="1" min="3" max="4" width="11.0"/>
    <col customWidth="1" min="5" max="6" width="10.67"/>
    <col customWidth="1" min="7" max="7" width="6.22"/>
    <col customWidth="1" min="11" max="11" width="2.78"/>
  </cols>
  <sheetData>
    <row r="1" ht="9.0" customHeight="1">
      <c r="B1" s="1"/>
      <c r="C1" s="2"/>
      <c r="D1" s="2"/>
      <c r="E1" s="2"/>
      <c r="F1" s="2"/>
      <c r="G1" s="1"/>
      <c r="H1" s="1"/>
      <c r="I1" s="1"/>
    </row>
    <row r="2" ht="15.75" customHeight="1">
      <c r="B2" s="78" t="s">
        <v>0</v>
      </c>
      <c r="C2" s="4"/>
      <c r="D2" s="2"/>
      <c r="E2" s="2"/>
      <c r="F2" s="2"/>
      <c r="G2" s="1"/>
      <c r="H2" s="1"/>
      <c r="I2" s="1"/>
    </row>
    <row r="3" ht="15.75" customHeight="1">
      <c r="B3" s="5" t="s">
        <v>1</v>
      </c>
      <c r="C3" s="6" t="s">
        <v>2</v>
      </c>
      <c r="D3" s="2"/>
      <c r="E3" s="1"/>
      <c r="F3" s="1"/>
      <c r="G3" s="1"/>
      <c r="H3" s="1"/>
      <c r="I3" s="1"/>
    </row>
    <row r="4" ht="15.75" customHeight="1">
      <c r="A4" s="7"/>
      <c r="B4" s="79" t="s">
        <v>3</v>
      </c>
      <c r="C4" s="80">
        <v>205.0</v>
      </c>
      <c r="D4" s="2"/>
      <c r="E4" s="1"/>
      <c r="F4" s="1"/>
      <c r="G4" s="1"/>
      <c r="H4" s="1"/>
      <c r="I4" s="1"/>
    </row>
    <row r="5" ht="15.75" customHeight="1">
      <c r="A5" s="7"/>
      <c r="B5" s="79" t="s">
        <v>5</v>
      </c>
      <c r="C5" s="80">
        <v>113.0</v>
      </c>
      <c r="D5" s="2"/>
      <c r="E5" s="1"/>
      <c r="F5" s="1"/>
      <c r="G5" s="1"/>
      <c r="H5" s="1"/>
      <c r="I5" s="1"/>
    </row>
    <row r="6" ht="15.75" customHeight="1">
      <c r="A6" s="7"/>
      <c r="B6" s="79" t="s">
        <v>6</v>
      </c>
      <c r="C6" s="80">
        <v>75.0</v>
      </c>
      <c r="D6" s="2"/>
      <c r="E6" s="1"/>
      <c r="F6" s="1"/>
      <c r="G6" s="1"/>
      <c r="H6" s="1"/>
      <c r="I6" s="1"/>
    </row>
    <row r="7" ht="15.75" customHeight="1">
      <c r="A7" s="7"/>
      <c r="B7" s="79" t="s">
        <v>4</v>
      </c>
      <c r="C7" s="80">
        <v>42.0</v>
      </c>
      <c r="D7" s="2"/>
      <c r="E7" s="1"/>
      <c r="F7" s="1"/>
      <c r="G7" s="1"/>
      <c r="H7" s="1"/>
      <c r="I7" s="1"/>
    </row>
    <row r="8" ht="15.75" customHeight="1">
      <c r="A8" s="7"/>
      <c r="B8" s="81" t="s">
        <v>8</v>
      </c>
      <c r="C8" s="80">
        <v>26.0</v>
      </c>
      <c r="D8" s="2"/>
      <c r="E8" s="1"/>
      <c r="F8" s="1"/>
      <c r="G8" s="1"/>
      <c r="H8" s="1"/>
      <c r="I8" s="1"/>
    </row>
    <row r="9" ht="15.75" customHeight="1">
      <c r="A9" s="7"/>
      <c r="B9" s="79" t="s">
        <v>7</v>
      </c>
      <c r="C9" s="80">
        <v>17.0</v>
      </c>
      <c r="D9" s="2"/>
      <c r="E9" s="1"/>
      <c r="F9" s="1"/>
      <c r="G9" s="1"/>
      <c r="H9" s="1"/>
      <c r="I9" s="1"/>
    </row>
    <row r="10" ht="60.0" customHeight="1">
      <c r="A10" s="7"/>
      <c r="B10" s="1"/>
      <c r="C10" s="1"/>
      <c r="D10" s="1"/>
      <c r="E10" s="1"/>
      <c r="F10" s="1"/>
      <c r="G10" s="1"/>
      <c r="H10" s="1"/>
      <c r="I10" s="1"/>
    </row>
    <row r="11" ht="15.75" customHeight="1">
      <c r="A11" s="7"/>
      <c r="B11" s="82" t="s">
        <v>9</v>
      </c>
      <c r="C11" s="1"/>
      <c r="D11" s="1"/>
      <c r="E11" s="1"/>
      <c r="F11" s="1"/>
      <c r="G11" s="1"/>
      <c r="H11" s="1"/>
      <c r="I11" s="1"/>
    </row>
    <row r="12" ht="15.75" customHeight="1">
      <c r="B12" s="12" t="s">
        <v>1</v>
      </c>
      <c r="C12" s="6" t="s">
        <v>10</v>
      </c>
      <c r="D12" s="1"/>
      <c r="E12" s="1"/>
      <c r="F12" s="1"/>
      <c r="G12" s="1"/>
      <c r="H12" s="1"/>
      <c r="I12" s="1"/>
    </row>
    <row r="13" ht="15.75" customHeight="1">
      <c r="A13" s="14">
        <v>7.0</v>
      </c>
      <c r="B13" s="83" t="s">
        <v>6</v>
      </c>
      <c r="C13" s="84">
        <v>129000.0</v>
      </c>
      <c r="D13" s="1"/>
      <c r="E13" s="1"/>
      <c r="F13" s="1"/>
      <c r="G13" s="1"/>
      <c r="H13" s="1"/>
      <c r="I13" s="1"/>
    </row>
    <row r="14" ht="15.75" customHeight="1">
      <c r="A14" s="14">
        <v>7.0</v>
      </c>
      <c r="B14" s="83" t="s">
        <v>3</v>
      </c>
      <c r="C14" s="84">
        <v>23000.0</v>
      </c>
      <c r="D14" s="1"/>
      <c r="E14" s="1"/>
      <c r="F14" s="1"/>
      <c r="G14" s="1"/>
      <c r="H14" s="1"/>
      <c r="I14" s="1"/>
    </row>
    <row r="15" ht="15.75" customHeight="1">
      <c r="A15" s="14">
        <v>7.0</v>
      </c>
      <c r="B15" s="83" t="s">
        <v>7</v>
      </c>
      <c r="C15" s="84">
        <v>13000.0</v>
      </c>
      <c r="D15" s="1"/>
      <c r="E15" s="1"/>
      <c r="F15" s="1"/>
      <c r="G15" s="1"/>
      <c r="H15" s="1"/>
      <c r="I15" s="1"/>
    </row>
    <row r="16" ht="15.75" customHeight="1">
      <c r="A16" s="14">
        <v>7.0</v>
      </c>
      <c r="B16" s="83" t="s">
        <v>5</v>
      </c>
      <c r="C16" s="84">
        <v>7400.0</v>
      </c>
      <c r="D16" s="1"/>
      <c r="E16" s="1"/>
      <c r="F16" s="1"/>
      <c r="G16" s="1"/>
      <c r="H16" s="1"/>
      <c r="I16" s="1"/>
    </row>
    <row r="17" ht="15.75" customHeight="1">
      <c r="A17" s="14">
        <v>7.0</v>
      </c>
      <c r="B17" s="85" t="s">
        <v>8</v>
      </c>
      <c r="C17" s="84">
        <v>6700.0</v>
      </c>
      <c r="D17" s="1"/>
      <c r="E17" s="1"/>
      <c r="F17" s="1"/>
      <c r="G17" s="1"/>
      <c r="H17" s="1"/>
      <c r="I17" s="1"/>
    </row>
    <row r="18" ht="15.75" customHeight="1">
      <c r="A18" s="14">
        <v>7.0</v>
      </c>
      <c r="B18" s="83" t="s">
        <v>4</v>
      </c>
      <c r="C18" s="86">
        <v>293.0</v>
      </c>
      <c r="D18" s="1"/>
      <c r="E18" s="1"/>
      <c r="F18" s="1"/>
      <c r="G18" s="1"/>
      <c r="H18" s="1"/>
      <c r="I18" s="1"/>
    </row>
    <row r="19" ht="55.5" customHeight="1">
      <c r="A19" s="14"/>
      <c r="B19" s="1"/>
      <c r="C19" s="2"/>
      <c r="D19" s="2"/>
      <c r="E19" s="2"/>
      <c r="F19" s="2"/>
      <c r="G19" s="1"/>
      <c r="H19" s="1"/>
      <c r="I19" s="1"/>
    </row>
    <row r="20" ht="15.75" customHeight="1">
      <c r="B20" s="87" t="s">
        <v>11</v>
      </c>
      <c r="C20" s="20"/>
      <c r="D20" s="21"/>
      <c r="E20" s="21"/>
      <c r="F20" s="21"/>
      <c r="G20" s="1"/>
      <c r="H20" s="1"/>
      <c r="I20" s="1"/>
    </row>
    <row r="21" ht="21.0" customHeight="1">
      <c r="B21" s="22" t="s">
        <v>1</v>
      </c>
      <c r="C21" s="22" t="s">
        <v>2</v>
      </c>
      <c r="D21" s="1"/>
      <c r="E21" s="1"/>
      <c r="F21" s="1"/>
      <c r="G21" s="1"/>
      <c r="H21" s="1"/>
    </row>
    <row r="22" ht="15.75" customHeight="1">
      <c r="A22" s="7"/>
      <c r="B22" s="85" t="s">
        <v>7</v>
      </c>
      <c r="C22" s="88">
        <v>0.15</v>
      </c>
      <c r="D22" s="1"/>
      <c r="E22" s="1"/>
      <c r="F22" s="1"/>
      <c r="G22" s="1"/>
      <c r="H22" s="1"/>
    </row>
    <row r="23" ht="15.75" customHeight="1">
      <c r="A23" s="7"/>
      <c r="B23" s="85" t="s">
        <v>4</v>
      </c>
      <c r="C23" s="88">
        <v>0.1</v>
      </c>
      <c r="D23" s="1"/>
      <c r="E23" s="1"/>
      <c r="F23" s="1"/>
      <c r="G23" s="1"/>
      <c r="H23" s="1"/>
    </row>
    <row r="24" ht="15.75" customHeight="1">
      <c r="A24" s="7"/>
      <c r="B24" s="85" t="s">
        <v>8</v>
      </c>
      <c r="C24" s="88">
        <v>0.0621</v>
      </c>
      <c r="D24" s="1"/>
      <c r="E24" s="1"/>
      <c r="F24" s="1"/>
      <c r="G24" s="1"/>
      <c r="H24" s="1"/>
    </row>
    <row r="25" ht="15.75" customHeight="1">
      <c r="A25" s="7"/>
      <c r="B25" s="89" t="s">
        <v>5</v>
      </c>
      <c r="C25" s="88">
        <v>0.0602</v>
      </c>
      <c r="D25" s="1"/>
      <c r="E25" s="1"/>
      <c r="F25" s="1"/>
      <c r="G25" s="1"/>
      <c r="H25" s="1"/>
    </row>
    <row r="26" ht="15.75" customHeight="1">
      <c r="A26" s="7"/>
      <c r="B26" s="85" t="s">
        <v>3</v>
      </c>
      <c r="C26" s="88">
        <v>0.0321</v>
      </c>
      <c r="D26" s="1"/>
      <c r="E26" s="1"/>
      <c r="F26" s="1"/>
      <c r="G26" s="1"/>
      <c r="H26" s="1"/>
    </row>
    <row r="27" ht="15.75" customHeight="1">
      <c r="A27" s="7"/>
      <c r="B27" s="85" t="s">
        <v>6</v>
      </c>
      <c r="C27" s="88">
        <v>0.008</v>
      </c>
      <c r="D27" s="1"/>
      <c r="E27" s="1"/>
      <c r="F27" s="1"/>
      <c r="G27" s="1"/>
      <c r="H27" s="1"/>
    </row>
    <row r="28" ht="56.25" customHeight="1">
      <c r="A28" s="7"/>
      <c r="B28" s="1"/>
      <c r="C28" s="1"/>
      <c r="D28" s="2"/>
      <c r="E28" s="2"/>
      <c r="F28" s="2"/>
      <c r="G28" s="1"/>
      <c r="H28" s="1"/>
      <c r="I28" s="1"/>
    </row>
    <row r="29" ht="15.75" customHeight="1">
      <c r="B29" s="90" t="s">
        <v>12</v>
      </c>
      <c r="C29" s="27"/>
      <c r="D29" s="2"/>
      <c r="E29" s="2"/>
      <c r="F29" s="2"/>
      <c r="G29" s="1"/>
      <c r="H29" s="1"/>
      <c r="I29" s="1"/>
    </row>
    <row r="30" ht="28.5" customHeight="1">
      <c r="A30" s="28"/>
      <c r="B30" s="29" t="s">
        <v>1</v>
      </c>
      <c r="C30" s="29" t="s">
        <v>2</v>
      </c>
      <c r="D30" s="27"/>
      <c r="E30" s="27"/>
      <c r="F30" s="28"/>
      <c r="G30" s="28"/>
      <c r="H30" s="28"/>
      <c r="I30" s="28"/>
      <c r="J30" s="28"/>
    </row>
    <row r="31" ht="15.75" customHeight="1">
      <c r="A31" s="7"/>
      <c r="B31" s="85" t="s">
        <v>8</v>
      </c>
      <c r="C31" s="88">
        <v>0.069</v>
      </c>
      <c r="D31" s="2"/>
      <c r="E31" s="2"/>
      <c r="F31" s="1"/>
      <c r="G31" s="1"/>
      <c r="H31" s="1"/>
    </row>
    <row r="32" ht="15.75" customHeight="1">
      <c r="A32" s="7"/>
      <c r="B32" s="85" t="s">
        <v>7</v>
      </c>
      <c r="C32" s="88">
        <v>0.0283</v>
      </c>
      <c r="D32" s="2"/>
      <c r="E32" s="2"/>
      <c r="F32" s="1"/>
      <c r="G32" s="1"/>
      <c r="H32" s="1"/>
    </row>
    <row r="33" ht="15.75" customHeight="1">
      <c r="A33" s="7"/>
      <c r="B33" s="85" t="s">
        <v>6</v>
      </c>
      <c r="C33" s="88">
        <v>0.0015</v>
      </c>
      <c r="D33" s="2"/>
      <c r="E33" s="2"/>
      <c r="F33" s="1"/>
      <c r="G33" s="1"/>
      <c r="H33" s="1"/>
    </row>
    <row r="34" ht="15.75" customHeight="1">
      <c r="B34" s="85" t="s">
        <v>3</v>
      </c>
      <c r="C34" s="91">
        <v>0.0</v>
      </c>
      <c r="D34" s="2"/>
      <c r="E34" s="2"/>
      <c r="F34" s="1"/>
      <c r="G34" s="1"/>
      <c r="H34" s="1"/>
    </row>
    <row r="35" ht="15.75" customHeight="1">
      <c r="B35" s="85" t="s">
        <v>5</v>
      </c>
      <c r="C35" s="88">
        <v>0.0</v>
      </c>
      <c r="D35" s="2"/>
      <c r="E35" s="2"/>
      <c r="F35" s="1"/>
      <c r="G35" s="1"/>
      <c r="H35" s="1"/>
    </row>
    <row r="36" ht="15.75" customHeight="1">
      <c r="A36" s="7"/>
      <c r="B36" s="85" t="s">
        <v>4</v>
      </c>
      <c r="C36" s="88">
        <v>0.0</v>
      </c>
      <c r="D36" s="2"/>
      <c r="E36" s="2"/>
      <c r="F36" s="1"/>
      <c r="G36" s="1"/>
      <c r="H36" s="1"/>
    </row>
    <row r="37" ht="42.0" customHeight="1">
      <c r="B37" s="1"/>
      <c r="C37" s="30"/>
      <c r="D37" s="2"/>
      <c r="E37" s="2"/>
      <c r="F37" s="2"/>
      <c r="G37" s="1"/>
      <c r="H37" s="1"/>
      <c r="I37" s="1"/>
    </row>
  </sheetData>
  <mergeCells count="1">
    <mergeCell ref="B20:C20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3"/>
    <hyperlink r:id="rId9" ref="B14"/>
    <hyperlink r:id="rId10" ref="B15"/>
    <hyperlink r:id="rId11" ref="B16"/>
    <hyperlink r:id="rId12" ref="B17"/>
    <hyperlink r:id="rId13" ref="B18"/>
    <hyperlink r:id="rId14" ref="B22"/>
    <hyperlink r:id="rId15" ref="B23"/>
    <hyperlink r:id="rId16" ref="B24"/>
    <hyperlink r:id="rId17" ref="B25"/>
    <hyperlink r:id="rId18" ref="B26"/>
    <hyperlink r:id="rId19" ref="B27"/>
    <hyperlink r:id="rId20" ref="B31"/>
    <hyperlink r:id="rId21" ref="B32"/>
    <hyperlink r:id="rId22" ref="B33"/>
    <hyperlink r:id="rId23" ref="B34"/>
    <hyperlink r:id="rId24" ref="B35"/>
    <hyperlink r:id="rId25" ref="B36"/>
  </hyperlinks>
  <printOptions/>
  <pageMargins bottom="0.787401575" footer="0.0" header="0.0" left="0.511811024" right="0.511811024" top="0.8194444444444445"/>
  <pageSetup scale="45" orientation="portrait"/>
  <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22"/>
    <col customWidth="1" min="3" max="3" width="10.22"/>
    <col customWidth="1" min="4" max="4" width="10.0"/>
    <col customWidth="1" min="5" max="5" width="9.89"/>
    <col customWidth="1" min="6" max="8" width="10.44"/>
    <col customWidth="1" min="9" max="9" width="11.44"/>
    <col customWidth="1" min="10" max="10" width="10.44"/>
    <col customWidth="1" min="11" max="11" width="40.22"/>
    <col customWidth="1" min="12" max="12" width="52.22"/>
    <col customWidth="1" min="13" max="13" width="9.44"/>
    <col customWidth="1" min="14" max="14" width="8.0"/>
    <col customWidth="1" min="15" max="15" width="9.89"/>
    <col customWidth="1" min="16" max="16" width="8.89"/>
    <col customWidth="1" min="17" max="17" width="8.44"/>
    <col customWidth="1" min="18" max="18" width="8.0"/>
    <col customWidth="1" min="19" max="19" width="8.22"/>
    <col customWidth="1" min="20" max="25" width="2.56"/>
  </cols>
  <sheetData>
    <row r="1" ht="10.5" customHeight="1">
      <c r="B1" s="1"/>
      <c r="C1" s="1"/>
      <c r="D1" s="1"/>
      <c r="E1" s="1"/>
      <c r="F1" s="1"/>
      <c r="G1" s="1"/>
      <c r="H1" s="1"/>
      <c r="I1" s="1"/>
    </row>
    <row r="2" ht="15.75" customHeight="1">
      <c r="B2" s="92" t="s">
        <v>13</v>
      </c>
      <c r="C2" s="1"/>
      <c r="D2" s="1"/>
      <c r="E2" s="1"/>
      <c r="F2" s="1"/>
      <c r="G2" s="1"/>
      <c r="H2" s="1"/>
      <c r="I2" s="1"/>
    </row>
    <row r="3" ht="15.75" customHeight="1">
      <c r="B3" s="13" t="s">
        <v>1</v>
      </c>
      <c r="C3" s="13" t="s">
        <v>16</v>
      </c>
      <c r="D3" s="1"/>
      <c r="E3" s="1"/>
      <c r="F3" s="1"/>
      <c r="G3" s="1"/>
      <c r="H3" s="1"/>
      <c r="I3" s="1"/>
    </row>
    <row r="4" ht="15.75" customHeight="1">
      <c r="A4" s="7"/>
      <c r="B4" s="83" t="s">
        <v>5</v>
      </c>
      <c r="C4" s="42">
        <v>79.0</v>
      </c>
      <c r="D4" s="1"/>
      <c r="E4" s="1"/>
      <c r="F4" s="1"/>
      <c r="G4" s="1"/>
      <c r="H4" s="1"/>
      <c r="I4" s="1"/>
    </row>
    <row r="5" ht="15.75" customHeight="1">
      <c r="A5" s="7"/>
      <c r="B5" s="85" t="s">
        <v>4</v>
      </c>
      <c r="C5" s="42">
        <v>75.0</v>
      </c>
      <c r="D5" s="1"/>
      <c r="E5" s="1"/>
      <c r="F5" s="1"/>
      <c r="G5" s="1"/>
      <c r="H5" s="1"/>
      <c r="I5" s="1"/>
    </row>
    <row r="6" ht="15.75" customHeight="1">
      <c r="A6" s="7"/>
      <c r="B6" s="85" t="s">
        <v>3</v>
      </c>
      <c r="C6" s="42">
        <v>73.0</v>
      </c>
      <c r="D6" s="1"/>
      <c r="E6" s="1"/>
      <c r="F6" s="1"/>
      <c r="G6" s="1"/>
      <c r="H6" s="1"/>
      <c r="I6" s="1"/>
    </row>
    <row r="7" ht="15.75" customHeight="1">
      <c r="A7" s="7"/>
      <c r="B7" s="89" t="s">
        <v>8</v>
      </c>
      <c r="C7" s="42">
        <v>71.0</v>
      </c>
      <c r="D7" s="1"/>
      <c r="E7" s="1"/>
      <c r="F7" s="1"/>
      <c r="G7" s="1"/>
      <c r="H7" s="1"/>
      <c r="I7" s="1"/>
    </row>
    <row r="8" ht="15.75" customHeight="1">
      <c r="A8" s="33"/>
      <c r="B8" s="85" t="s">
        <v>7</v>
      </c>
      <c r="C8" s="42">
        <v>65.0</v>
      </c>
      <c r="D8" s="1"/>
      <c r="E8" s="1"/>
      <c r="F8" s="1"/>
      <c r="G8" s="1"/>
      <c r="H8" s="1"/>
      <c r="I8" s="1"/>
    </row>
    <row r="9" ht="15.75" customHeight="1">
      <c r="A9" s="7"/>
      <c r="B9" s="89" t="s">
        <v>6</v>
      </c>
      <c r="C9" s="42">
        <v>0.0</v>
      </c>
      <c r="D9" s="1"/>
      <c r="E9" s="1"/>
      <c r="F9" s="1"/>
      <c r="G9" s="1"/>
      <c r="H9" s="1"/>
      <c r="I9" s="1"/>
    </row>
    <row r="10" ht="56.25" customHeight="1">
      <c r="B10" s="1"/>
      <c r="C10" s="1"/>
      <c r="D10" s="1"/>
      <c r="E10" s="1"/>
      <c r="F10" s="1"/>
      <c r="G10" s="1"/>
      <c r="H10" s="1"/>
      <c r="I10" s="1"/>
    </row>
    <row r="11" ht="15.75" customHeight="1">
      <c r="B11" s="93" t="s">
        <v>24</v>
      </c>
      <c r="C11" s="1"/>
      <c r="D11" s="40"/>
      <c r="E11" s="1"/>
      <c r="F11" s="1"/>
      <c r="G11" s="1"/>
      <c r="H11" s="1"/>
      <c r="I11" s="1"/>
    </row>
    <row r="12" ht="15.75" customHeight="1">
      <c r="B12" s="94" t="s">
        <v>1</v>
      </c>
      <c r="C12" s="95" t="s">
        <v>38</v>
      </c>
      <c r="D12" s="40"/>
      <c r="E12" s="1"/>
      <c r="F12" s="1"/>
      <c r="G12" s="1"/>
      <c r="H12" s="1"/>
      <c r="I12" s="1"/>
    </row>
    <row r="13" ht="15.75" customHeight="1">
      <c r="B13" s="89" t="s">
        <v>6</v>
      </c>
      <c r="C13" s="96">
        <v>97.0</v>
      </c>
      <c r="D13" s="40"/>
      <c r="E13" s="1"/>
      <c r="F13" s="1"/>
      <c r="G13" s="1"/>
      <c r="H13" s="1"/>
      <c r="I13" s="1"/>
    </row>
    <row r="14" ht="15.75" customHeight="1">
      <c r="B14" s="83" t="s">
        <v>5</v>
      </c>
      <c r="C14" s="96">
        <v>86.0</v>
      </c>
      <c r="D14" s="40"/>
      <c r="E14" s="1"/>
      <c r="F14" s="1"/>
      <c r="G14" s="1"/>
      <c r="H14" s="1"/>
      <c r="I14" s="1"/>
    </row>
    <row r="15" ht="15.75" customHeight="1">
      <c r="B15" s="85" t="s">
        <v>4</v>
      </c>
      <c r="C15" s="96">
        <v>77.5</v>
      </c>
      <c r="D15" s="40"/>
      <c r="E15" s="1"/>
      <c r="F15" s="1"/>
      <c r="G15" s="1"/>
      <c r="H15" s="1"/>
      <c r="I15" s="1"/>
    </row>
    <row r="16" ht="15.75" customHeight="1">
      <c r="B16" s="85" t="s">
        <v>3</v>
      </c>
      <c r="C16" s="96">
        <v>59.0</v>
      </c>
      <c r="D16" s="40"/>
      <c r="E16" s="1"/>
      <c r="F16" s="1"/>
      <c r="G16" s="1"/>
      <c r="H16" s="1"/>
      <c r="I16" s="1"/>
    </row>
    <row r="17" ht="15.75" customHeight="1">
      <c r="B17" s="85" t="s">
        <v>7</v>
      </c>
      <c r="C17" s="96">
        <v>46.5</v>
      </c>
      <c r="D17" s="40"/>
      <c r="E17" s="1"/>
      <c r="F17" s="1"/>
      <c r="G17" s="1"/>
      <c r="H17" s="1"/>
      <c r="I17" s="1"/>
    </row>
    <row r="18" ht="15.75" customHeight="1">
      <c r="B18" s="89" t="s">
        <v>8</v>
      </c>
      <c r="C18" s="96">
        <v>43.0</v>
      </c>
      <c r="D18" s="40"/>
      <c r="E18" s="1"/>
      <c r="F18" s="1"/>
      <c r="G18" s="1"/>
      <c r="H18" s="1"/>
      <c r="I18" s="1"/>
    </row>
    <row r="19" ht="59.25" customHeight="1">
      <c r="B19" s="51"/>
      <c r="C19" s="39"/>
      <c r="D19" s="40"/>
      <c r="E19" s="1"/>
      <c r="F19" s="1"/>
      <c r="G19" s="1"/>
      <c r="H19" s="1"/>
      <c r="I19" s="1"/>
    </row>
    <row r="20" ht="15.75" customHeight="1">
      <c r="B20" s="97" t="s">
        <v>27</v>
      </c>
      <c r="C20" s="1"/>
      <c r="D20" s="1"/>
      <c r="E20" s="1"/>
      <c r="F20" s="1"/>
      <c r="G20" s="1"/>
      <c r="H20" s="1"/>
      <c r="I20" s="1"/>
    </row>
    <row r="21" ht="15.75" customHeight="1">
      <c r="A21" s="14">
        <v>5.0</v>
      </c>
      <c r="B21" s="13" t="s">
        <v>1</v>
      </c>
      <c r="C21" s="13" t="s">
        <v>25</v>
      </c>
      <c r="D21" s="1"/>
      <c r="E21" s="1"/>
      <c r="F21" s="1"/>
      <c r="G21" s="1"/>
      <c r="H21" s="1"/>
      <c r="I21" s="1"/>
    </row>
    <row r="22" ht="15.75" customHeight="1">
      <c r="A22" s="7"/>
      <c r="B22" s="85" t="s">
        <v>7</v>
      </c>
      <c r="C22" s="98">
        <v>146.96</v>
      </c>
      <c r="D22" s="1"/>
      <c r="E22" s="1"/>
      <c r="F22" s="1"/>
      <c r="G22" s="1"/>
      <c r="H22" s="1"/>
      <c r="I22" s="1"/>
      <c r="K22" s="13" t="s">
        <v>39</v>
      </c>
      <c r="L22" s="13" t="s">
        <v>40</v>
      </c>
      <c r="M22" s="13" t="s">
        <v>17</v>
      </c>
      <c r="N22" s="13" t="s">
        <v>18</v>
      </c>
      <c r="O22" s="37" t="s">
        <v>19</v>
      </c>
      <c r="P22" s="37" t="s">
        <v>20</v>
      </c>
      <c r="Q22" s="37" t="s">
        <v>21</v>
      </c>
      <c r="R22" s="54" t="s">
        <v>22</v>
      </c>
      <c r="S22" s="1"/>
    </row>
    <row r="23" ht="15.75" customHeight="1">
      <c r="A23" s="7"/>
      <c r="B23" s="89" t="s">
        <v>6</v>
      </c>
      <c r="C23" s="98">
        <v>83.6</v>
      </c>
      <c r="D23" s="1"/>
      <c r="E23" s="1"/>
      <c r="F23" s="1"/>
      <c r="G23" s="1"/>
      <c r="H23" s="1"/>
      <c r="I23" s="1"/>
      <c r="K23" s="13">
        <v>6.0</v>
      </c>
      <c r="L23" s="83" t="s">
        <v>5</v>
      </c>
      <c r="M23" s="89" t="s">
        <v>6</v>
      </c>
      <c r="N23" s="85" t="s">
        <v>7</v>
      </c>
      <c r="O23" s="79" t="s">
        <v>3</v>
      </c>
      <c r="P23" s="83" t="s">
        <v>6</v>
      </c>
      <c r="Q23" s="85" t="s">
        <v>7</v>
      </c>
      <c r="R23" s="85" t="s">
        <v>8</v>
      </c>
      <c r="S23" s="51"/>
    </row>
    <row r="24" ht="15.75" customHeight="1">
      <c r="A24" s="7"/>
      <c r="B24" s="85" t="s">
        <v>4</v>
      </c>
      <c r="C24" s="98">
        <v>55.2</v>
      </c>
      <c r="D24" s="1"/>
      <c r="E24" s="1"/>
      <c r="F24" s="1"/>
      <c r="G24" s="1"/>
      <c r="H24" s="1"/>
      <c r="I24" s="1"/>
      <c r="K24" s="13">
        <v>5.0</v>
      </c>
      <c r="L24" s="85" t="s">
        <v>4</v>
      </c>
      <c r="M24" s="83" t="s">
        <v>5</v>
      </c>
      <c r="N24" s="89" t="s">
        <v>6</v>
      </c>
      <c r="O24" s="79" t="s">
        <v>5</v>
      </c>
      <c r="P24" s="83" t="s">
        <v>3</v>
      </c>
      <c r="Q24" s="85" t="s">
        <v>4</v>
      </c>
      <c r="R24" s="85" t="s">
        <v>7</v>
      </c>
      <c r="S24" s="51"/>
    </row>
    <row r="25" ht="15.75" customHeight="1">
      <c r="A25" s="7"/>
      <c r="B25" s="85" t="s">
        <v>3</v>
      </c>
      <c r="C25" s="98">
        <v>52.44</v>
      </c>
      <c r="D25" s="1"/>
      <c r="E25" s="1"/>
      <c r="F25" s="1"/>
      <c r="G25" s="1"/>
      <c r="H25" s="1"/>
      <c r="I25" s="1"/>
      <c r="K25" s="13">
        <v>4.0</v>
      </c>
      <c r="L25" s="85" t="s">
        <v>3</v>
      </c>
      <c r="M25" s="85" t="s">
        <v>4</v>
      </c>
      <c r="N25" s="85" t="s">
        <v>4</v>
      </c>
      <c r="O25" s="79" t="s">
        <v>6</v>
      </c>
      <c r="P25" s="83" t="s">
        <v>7</v>
      </c>
      <c r="Q25" s="85" t="s">
        <v>8</v>
      </c>
      <c r="R25" s="85" t="s">
        <v>6</v>
      </c>
      <c r="S25" s="51"/>
    </row>
    <row r="26" ht="15.75" customHeight="1">
      <c r="A26" s="7"/>
      <c r="B26" s="85" t="s">
        <v>8</v>
      </c>
      <c r="C26" s="98">
        <v>50.76</v>
      </c>
      <c r="D26" s="1"/>
      <c r="E26" s="1"/>
      <c r="F26" s="1"/>
      <c r="G26" s="1"/>
      <c r="H26" s="1"/>
      <c r="I26" s="1"/>
      <c r="K26" s="13">
        <v>3.0</v>
      </c>
      <c r="L26" s="89" t="s">
        <v>8</v>
      </c>
      <c r="M26" s="85" t="s">
        <v>3</v>
      </c>
      <c r="N26" s="85" t="s">
        <v>3</v>
      </c>
      <c r="O26" s="79" t="s">
        <v>4</v>
      </c>
      <c r="P26" s="83" t="s">
        <v>5</v>
      </c>
      <c r="Q26" s="89" t="s">
        <v>5</v>
      </c>
      <c r="R26" s="85" t="s">
        <v>3</v>
      </c>
      <c r="S26" s="51"/>
    </row>
    <row r="27" ht="15.75" customHeight="1">
      <c r="A27" s="7"/>
      <c r="B27" s="89" t="s">
        <v>5</v>
      </c>
      <c r="C27" s="98">
        <v>43.12</v>
      </c>
      <c r="D27" s="1"/>
      <c r="E27" s="1"/>
      <c r="F27" s="1"/>
      <c r="G27" s="1"/>
      <c r="H27" s="1"/>
      <c r="I27" s="1"/>
      <c r="K27" s="13">
        <v>2.0</v>
      </c>
      <c r="L27" s="85" t="s">
        <v>7</v>
      </c>
      <c r="M27" s="85" t="s">
        <v>7</v>
      </c>
      <c r="N27" s="85" t="s">
        <v>8</v>
      </c>
      <c r="O27" s="81" t="s">
        <v>8</v>
      </c>
      <c r="P27" s="85" t="s">
        <v>8</v>
      </c>
      <c r="Q27" s="85" t="s">
        <v>3</v>
      </c>
      <c r="R27" s="85" t="s">
        <v>5</v>
      </c>
      <c r="S27" s="51"/>
    </row>
    <row r="28" ht="57.0" customHeight="1">
      <c r="B28" s="1"/>
      <c r="C28" s="1"/>
      <c r="D28" s="1"/>
      <c r="E28" s="1"/>
      <c r="F28" s="1"/>
      <c r="G28" s="1"/>
      <c r="H28" s="1"/>
      <c r="I28" s="1"/>
      <c r="K28" s="13">
        <v>1.0</v>
      </c>
      <c r="L28" s="89" t="s">
        <v>6</v>
      </c>
      <c r="M28" s="89" t="s">
        <v>8</v>
      </c>
      <c r="N28" s="89" t="s">
        <v>5</v>
      </c>
      <c r="O28" s="79" t="s">
        <v>7</v>
      </c>
      <c r="P28" s="83" t="s">
        <v>4</v>
      </c>
      <c r="Q28" s="85" t="s">
        <v>6</v>
      </c>
      <c r="R28" s="85" t="s">
        <v>4</v>
      </c>
      <c r="S28" s="51"/>
    </row>
    <row r="29" ht="15.75" customHeight="1">
      <c r="B29" s="13"/>
      <c r="C29" s="37"/>
      <c r="D29" s="37"/>
      <c r="E29" s="54"/>
      <c r="F29" s="1"/>
      <c r="G29" s="1"/>
      <c r="H29" s="1"/>
      <c r="I29" s="1"/>
      <c r="J29" s="1"/>
      <c r="K29" s="1"/>
      <c r="L29" s="1"/>
      <c r="M29" s="1"/>
      <c r="N29" s="99"/>
      <c r="O29" s="1"/>
      <c r="P29" s="1"/>
      <c r="Q29" s="60"/>
      <c r="R29" s="51"/>
      <c r="S29" s="1"/>
    </row>
    <row r="30" ht="15.75" customHeight="1">
      <c r="B30" s="13"/>
      <c r="C30" s="56"/>
      <c r="D30" s="41"/>
      <c r="E30" s="41"/>
      <c r="F30" s="51"/>
      <c r="G30" s="1"/>
      <c r="H30" s="1"/>
      <c r="I30" s="1"/>
      <c r="J30" s="1"/>
      <c r="K30" s="34" t="s">
        <v>15</v>
      </c>
      <c r="L30" s="35"/>
      <c r="M30" s="35"/>
      <c r="N30" s="35"/>
      <c r="O30" s="35"/>
      <c r="P30" s="35"/>
      <c r="Q30" s="35"/>
      <c r="R30" s="35"/>
      <c r="S30" s="36"/>
    </row>
    <row r="31" ht="15.75" customHeight="1">
      <c r="B31" s="13"/>
      <c r="C31" s="56"/>
      <c r="D31" s="41"/>
      <c r="E31" s="41"/>
      <c r="F31" s="51"/>
      <c r="G31" s="1"/>
      <c r="H31" s="1"/>
      <c r="I31" s="1"/>
      <c r="J31" s="1"/>
      <c r="K31" s="13" t="s">
        <v>1</v>
      </c>
      <c r="L31" s="37" t="s">
        <v>16</v>
      </c>
      <c r="M31" s="13" t="s">
        <v>17</v>
      </c>
      <c r="N31" s="13" t="s">
        <v>18</v>
      </c>
      <c r="O31" s="37" t="s">
        <v>19</v>
      </c>
      <c r="P31" s="37" t="s">
        <v>20</v>
      </c>
      <c r="Q31" s="37" t="s">
        <v>21</v>
      </c>
      <c r="R31" s="13" t="s">
        <v>22</v>
      </c>
      <c r="S31" s="13" t="s">
        <v>23</v>
      </c>
    </row>
    <row r="32" ht="15.75" customHeight="1">
      <c r="B32" s="13"/>
      <c r="C32" s="56"/>
      <c r="D32" s="41"/>
      <c r="E32" s="41"/>
      <c r="F32" s="51"/>
      <c r="G32" s="1"/>
      <c r="H32" s="1"/>
      <c r="I32" s="1"/>
      <c r="J32" s="1"/>
      <c r="K32" s="41" t="s">
        <v>3</v>
      </c>
      <c r="L32" s="42">
        <v>7.0</v>
      </c>
      <c r="M32" s="42">
        <v>3.0</v>
      </c>
      <c r="N32" s="42">
        <v>6.0</v>
      </c>
      <c r="O32" s="43">
        <v>8.0</v>
      </c>
      <c r="P32" s="43">
        <v>8.0</v>
      </c>
      <c r="Q32" s="43">
        <v>8.0</v>
      </c>
      <c r="R32" s="44">
        <v>5.0</v>
      </c>
      <c r="S32" s="45">
        <f t="shared" ref="S32:S37" si="1">SUM(L32:R32)</f>
        <v>45</v>
      </c>
    </row>
    <row r="33" ht="15.75" customHeight="1">
      <c r="B33" s="13"/>
      <c r="C33" s="56"/>
      <c r="D33" s="57"/>
      <c r="E33" s="41"/>
      <c r="F33" s="51"/>
      <c r="G33" s="1"/>
      <c r="H33" s="1"/>
      <c r="I33" s="1"/>
      <c r="J33" s="1"/>
      <c r="K33" s="41" t="s">
        <v>5</v>
      </c>
      <c r="L33" s="42">
        <v>10.0</v>
      </c>
      <c r="M33" s="42">
        <v>7.0</v>
      </c>
      <c r="N33" s="42">
        <v>4.0</v>
      </c>
      <c r="O33" s="43">
        <v>10.0</v>
      </c>
      <c r="P33" s="43">
        <v>5.0</v>
      </c>
      <c r="Q33" s="43">
        <v>4.0</v>
      </c>
      <c r="R33" s="44">
        <v>5.0</v>
      </c>
      <c r="S33" s="45">
        <f t="shared" si="1"/>
        <v>45</v>
      </c>
    </row>
    <row r="34" ht="15.75" customHeight="1">
      <c r="B34" s="13"/>
      <c r="C34" s="41"/>
      <c r="D34" s="41"/>
      <c r="E34" s="41"/>
      <c r="F34" s="51"/>
      <c r="G34" s="1"/>
      <c r="H34" s="1"/>
      <c r="I34" s="1"/>
      <c r="J34" s="1"/>
      <c r="K34" s="41" t="s">
        <v>8</v>
      </c>
      <c r="L34" s="42">
        <v>6.0</v>
      </c>
      <c r="M34" s="42">
        <v>6.0</v>
      </c>
      <c r="N34" s="42">
        <v>5.0</v>
      </c>
      <c r="O34" s="43">
        <v>4.0</v>
      </c>
      <c r="P34" s="43">
        <v>4.0</v>
      </c>
      <c r="Q34" s="43">
        <v>9.0</v>
      </c>
      <c r="R34" s="44">
        <v>10.0</v>
      </c>
      <c r="S34" s="45">
        <f t="shared" si="1"/>
        <v>44</v>
      </c>
    </row>
    <row r="35" ht="15.75" customHeight="1">
      <c r="B35" s="13"/>
      <c r="C35" s="56"/>
      <c r="D35" s="41"/>
      <c r="E35" s="41"/>
      <c r="F35" s="51"/>
      <c r="G35" s="1"/>
      <c r="H35" s="1"/>
      <c r="I35" s="1"/>
      <c r="J35" s="1"/>
      <c r="K35" s="41" t="s">
        <v>6</v>
      </c>
      <c r="L35" s="42">
        <v>1.0</v>
      </c>
      <c r="M35" s="42">
        <v>9.0</v>
      </c>
      <c r="N35" s="42">
        <v>8.0</v>
      </c>
      <c r="O35" s="43">
        <v>6.0</v>
      </c>
      <c r="P35" s="43">
        <v>9.0</v>
      </c>
      <c r="Q35" s="43">
        <v>1.0</v>
      </c>
      <c r="R35" s="44">
        <v>8.0</v>
      </c>
      <c r="S35" s="45">
        <f t="shared" si="1"/>
        <v>42</v>
      </c>
    </row>
    <row r="36" ht="54.75" customHeight="1">
      <c r="B36" s="1"/>
      <c r="C36" s="1"/>
      <c r="D36" s="60"/>
      <c r="E36" s="51"/>
      <c r="F36" s="1"/>
      <c r="G36" s="1"/>
      <c r="H36" s="1"/>
      <c r="I36" s="1"/>
      <c r="K36" s="41" t="s">
        <v>7</v>
      </c>
      <c r="L36" s="42">
        <v>3.0</v>
      </c>
      <c r="M36" s="42">
        <v>2.0</v>
      </c>
      <c r="N36" s="42">
        <v>10.0</v>
      </c>
      <c r="O36" s="43">
        <v>3.0</v>
      </c>
      <c r="P36" s="43">
        <v>7.0</v>
      </c>
      <c r="Q36" s="43">
        <v>7.0</v>
      </c>
      <c r="R36" s="44">
        <v>6.0</v>
      </c>
      <c r="S36" s="45">
        <f t="shared" si="1"/>
        <v>38</v>
      </c>
    </row>
    <row r="37" ht="15.75" customHeight="1">
      <c r="B37" s="34"/>
      <c r="C37" s="35"/>
      <c r="D37" s="35"/>
      <c r="E37" s="35"/>
      <c r="F37" s="36"/>
      <c r="G37" s="1"/>
      <c r="H37" s="1"/>
      <c r="I37" s="1"/>
      <c r="K37" s="41" t="s">
        <v>4</v>
      </c>
      <c r="L37" s="42">
        <v>8.0</v>
      </c>
      <c r="M37" s="42">
        <v>5.0</v>
      </c>
      <c r="N37" s="42">
        <v>7.0</v>
      </c>
      <c r="O37" s="43">
        <v>5.0</v>
      </c>
      <c r="P37" s="43">
        <v>2.0</v>
      </c>
      <c r="Q37" s="43">
        <v>5.0</v>
      </c>
      <c r="R37" s="44">
        <v>2.0</v>
      </c>
      <c r="S37" s="45">
        <f t="shared" si="1"/>
        <v>34</v>
      </c>
    </row>
    <row r="38" ht="15.75" customHeight="1">
      <c r="B38" s="13"/>
      <c r="C38" s="37"/>
      <c r="D38" s="37"/>
      <c r="E38" s="13"/>
      <c r="F38" s="1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7"/>
      <c r="U38" s="7"/>
      <c r="V38" s="7"/>
      <c r="W38" s="7"/>
      <c r="X38" s="7"/>
      <c r="Y38" s="7"/>
    </row>
    <row r="39" ht="15.75" customHeight="1">
      <c r="A39" s="69"/>
      <c r="B39" s="41"/>
      <c r="C39" s="43"/>
      <c r="D39" s="43"/>
      <c r="E39" s="44"/>
      <c r="F39" s="45"/>
      <c r="G39" s="70"/>
      <c r="H39" s="1"/>
      <c r="I39" s="1"/>
      <c r="J39" s="1"/>
      <c r="K39" s="50" t="s">
        <v>26</v>
      </c>
      <c r="L39" s="35"/>
      <c r="M39" s="35"/>
      <c r="N39" s="35"/>
      <c r="O39" s="35"/>
      <c r="P39" s="35"/>
      <c r="Q39" s="35"/>
      <c r="R39" s="35"/>
      <c r="S39" s="36"/>
      <c r="T39" s="7"/>
      <c r="U39" s="7"/>
      <c r="V39" s="7"/>
      <c r="W39" s="7"/>
      <c r="X39" s="7"/>
      <c r="Y39" s="7"/>
    </row>
    <row r="40" ht="15.75" customHeight="1">
      <c r="A40" s="71"/>
      <c r="B40" s="41"/>
      <c r="C40" s="43"/>
      <c r="D40" s="43"/>
      <c r="E40" s="44"/>
      <c r="F40" s="45"/>
      <c r="G40" s="70"/>
      <c r="H40" s="1"/>
      <c r="I40" s="1"/>
      <c r="J40" s="1"/>
      <c r="K40" s="13" t="s">
        <v>1</v>
      </c>
      <c r="L40" s="37" t="s">
        <v>16</v>
      </c>
      <c r="M40" s="13" t="s">
        <v>17</v>
      </c>
      <c r="N40" s="13" t="s">
        <v>18</v>
      </c>
      <c r="O40" s="37" t="s">
        <v>19</v>
      </c>
      <c r="P40" s="37" t="s">
        <v>20</v>
      </c>
      <c r="Q40" s="37" t="s">
        <v>21</v>
      </c>
      <c r="R40" s="13" t="s">
        <v>22</v>
      </c>
      <c r="S40" s="13" t="s">
        <v>23</v>
      </c>
      <c r="T40" s="7"/>
      <c r="U40" s="7"/>
      <c r="V40" s="7"/>
      <c r="W40" s="7"/>
      <c r="X40" s="7"/>
      <c r="Y40" s="7"/>
    </row>
    <row r="41" ht="15.75" customHeight="1">
      <c r="A41" s="71"/>
      <c r="B41" s="41"/>
      <c r="C41" s="43"/>
      <c r="D41" s="43"/>
      <c r="E41" s="44"/>
      <c r="F41" s="45"/>
      <c r="G41" s="70"/>
      <c r="H41" s="1"/>
      <c r="I41" s="1"/>
      <c r="J41" s="1"/>
      <c r="K41" s="41" t="s">
        <v>3</v>
      </c>
      <c r="L41" s="42">
        <f t="shared" ref="L41:M41" si="2">L32*5</f>
        <v>35</v>
      </c>
      <c r="M41" s="42">
        <f t="shared" si="2"/>
        <v>15</v>
      </c>
      <c r="N41" s="42">
        <f t="shared" ref="N41:O41" si="3">N32*3</f>
        <v>18</v>
      </c>
      <c r="O41" s="43">
        <f t="shared" si="3"/>
        <v>24</v>
      </c>
      <c r="P41" s="43">
        <f t="shared" ref="P41:P46" si="6">P32*1</f>
        <v>8</v>
      </c>
      <c r="Q41" s="43">
        <f t="shared" ref="Q41:Q46" si="7">Q32*4</f>
        <v>32</v>
      </c>
      <c r="R41" s="44">
        <f t="shared" ref="R41:R46" si="8">R32*2</f>
        <v>10</v>
      </c>
      <c r="S41" s="45">
        <f t="shared" ref="S41:S46" si="9">SUM(L41:R41)</f>
        <v>142</v>
      </c>
    </row>
    <row r="42" ht="15.75" customHeight="1">
      <c r="A42" s="71"/>
      <c r="B42" s="41"/>
      <c r="C42" s="43"/>
      <c r="D42" s="43"/>
      <c r="E42" s="44"/>
      <c r="F42" s="45"/>
      <c r="G42" s="70"/>
      <c r="H42" s="1"/>
      <c r="I42" s="1"/>
      <c r="J42" s="1"/>
      <c r="K42" s="41" t="s">
        <v>5</v>
      </c>
      <c r="L42" s="42">
        <f t="shared" ref="L42:M42" si="4">L33*5</f>
        <v>50</v>
      </c>
      <c r="M42" s="42">
        <f t="shared" si="4"/>
        <v>35</v>
      </c>
      <c r="N42" s="42">
        <f t="shared" ref="N42:O42" si="5">N33*3</f>
        <v>12</v>
      </c>
      <c r="O42" s="43">
        <f t="shared" si="5"/>
        <v>30</v>
      </c>
      <c r="P42" s="43">
        <f t="shared" si="6"/>
        <v>5</v>
      </c>
      <c r="Q42" s="43">
        <f t="shared" si="7"/>
        <v>16</v>
      </c>
      <c r="R42" s="44">
        <f t="shared" si="8"/>
        <v>10</v>
      </c>
      <c r="S42" s="45">
        <f t="shared" si="9"/>
        <v>158</v>
      </c>
    </row>
    <row r="43" ht="15.75" customHeight="1">
      <c r="A43" s="71"/>
      <c r="B43" s="41"/>
      <c r="C43" s="43"/>
      <c r="D43" s="43"/>
      <c r="E43" s="44"/>
      <c r="F43" s="45"/>
      <c r="G43" s="70"/>
      <c r="H43" s="1"/>
      <c r="I43" s="1"/>
      <c r="J43" s="1"/>
      <c r="K43" s="41" t="s">
        <v>8</v>
      </c>
      <c r="L43" s="42">
        <f t="shared" ref="L43:M43" si="10">L34*5</f>
        <v>30</v>
      </c>
      <c r="M43" s="42">
        <f t="shared" si="10"/>
        <v>30</v>
      </c>
      <c r="N43" s="42">
        <f t="shared" ref="N43:O43" si="11">N34*3</f>
        <v>15</v>
      </c>
      <c r="O43" s="43">
        <f t="shared" si="11"/>
        <v>12</v>
      </c>
      <c r="P43" s="43">
        <f t="shared" si="6"/>
        <v>4</v>
      </c>
      <c r="Q43" s="43">
        <f t="shared" si="7"/>
        <v>36</v>
      </c>
      <c r="R43" s="44">
        <f t="shared" si="8"/>
        <v>20</v>
      </c>
      <c r="S43" s="45">
        <f t="shared" si="9"/>
        <v>147</v>
      </c>
    </row>
    <row r="44" ht="15.75" customHeight="1">
      <c r="A44" s="71"/>
      <c r="B44" s="41"/>
      <c r="C44" s="43"/>
      <c r="D44" s="43"/>
      <c r="E44" s="44"/>
      <c r="F44" s="45"/>
      <c r="G44" s="70"/>
      <c r="H44" s="1"/>
      <c r="I44" s="1"/>
      <c r="J44" s="1"/>
      <c r="K44" s="41" t="s">
        <v>6</v>
      </c>
      <c r="L44" s="42">
        <f t="shared" ref="L44:M44" si="12">L35*5</f>
        <v>5</v>
      </c>
      <c r="M44" s="42">
        <f t="shared" si="12"/>
        <v>45</v>
      </c>
      <c r="N44" s="42">
        <f t="shared" ref="N44:O44" si="13">N35*3</f>
        <v>24</v>
      </c>
      <c r="O44" s="43">
        <f t="shared" si="13"/>
        <v>18</v>
      </c>
      <c r="P44" s="43">
        <f t="shared" si="6"/>
        <v>9</v>
      </c>
      <c r="Q44" s="43">
        <f t="shared" si="7"/>
        <v>4</v>
      </c>
      <c r="R44" s="44">
        <f t="shared" si="8"/>
        <v>16</v>
      </c>
      <c r="S44" s="45">
        <f t="shared" si="9"/>
        <v>121</v>
      </c>
      <c r="T44" s="7"/>
      <c r="U44" s="7"/>
      <c r="V44" s="7"/>
      <c r="W44" s="7"/>
      <c r="X44" s="7"/>
      <c r="Y44" s="7"/>
    </row>
    <row r="45" ht="67.5" customHeight="1">
      <c r="B45" s="1"/>
      <c r="C45" s="1"/>
      <c r="D45" s="1"/>
      <c r="E45" s="1"/>
      <c r="F45" s="1"/>
      <c r="G45" s="1"/>
      <c r="H45" s="1"/>
      <c r="I45" s="1"/>
      <c r="K45" s="41" t="s">
        <v>7</v>
      </c>
      <c r="L45" s="42">
        <f t="shared" ref="L45:M45" si="14">L36*5</f>
        <v>15</v>
      </c>
      <c r="M45" s="42">
        <f t="shared" si="14"/>
        <v>10</v>
      </c>
      <c r="N45" s="42">
        <f t="shared" ref="N45:O45" si="15">N36*3</f>
        <v>30</v>
      </c>
      <c r="O45" s="43">
        <f t="shared" si="15"/>
        <v>9</v>
      </c>
      <c r="P45" s="43">
        <f t="shared" si="6"/>
        <v>7</v>
      </c>
      <c r="Q45" s="43">
        <f t="shared" si="7"/>
        <v>28</v>
      </c>
      <c r="R45" s="44">
        <f t="shared" si="8"/>
        <v>12</v>
      </c>
      <c r="S45" s="45">
        <f t="shared" si="9"/>
        <v>111</v>
      </c>
    </row>
    <row r="46" ht="15.75" customHeight="1">
      <c r="B46" s="50"/>
      <c r="C46" s="35"/>
      <c r="D46" s="35"/>
      <c r="E46" s="35"/>
      <c r="F46" s="36"/>
      <c r="G46" s="1"/>
      <c r="H46" s="1"/>
      <c r="I46" s="1"/>
      <c r="K46" s="41" t="s">
        <v>4</v>
      </c>
      <c r="L46" s="42">
        <f t="shared" ref="L46:M46" si="16">L37*5</f>
        <v>40</v>
      </c>
      <c r="M46" s="42">
        <f t="shared" si="16"/>
        <v>25</v>
      </c>
      <c r="N46" s="42">
        <f t="shared" ref="N46:O46" si="17">N37*3</f>
        <v>21</v>
      </c>
      <c r="O46" s="43">
        <f t="shared" si="17"/>
        <v>15</v>
      </c>
      <c r="P46" s="43">
        <f t="shared" si="6"/>
        <v>2</v>
      </c>
      <c r="Q46" s="43">
        <f t="shared" si="7"/>
        <v>20</v>
      </c>
      <c r="R46" s="44">
        <f t="shared" si="8"/>
        <v>4</v>
      </c>
      <c r="S46" s="45">
        <f t="shared" si="9"/>
        <v>127</v>
      </c>
    </row>
    <row r="47" ht="15.75" customHeight="1">
      <c r="B47" s="13"/>
      <c r="C47" s="37"/>
      <c r="D47" s="37"/>
      <c r="E47" s="13"/>
      <c r="F47" s="1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ht="15.75" customHeight="1">
      <c r="B48" s="41"/>
      <c r="C48" s="43"/>
      <c r="D48" s="43"/>
      <c r="E48" s="44"/>
      <c r="F48" s="45"/>
      <c r="G48" s="1"/>
      <c r="H48" s="1"/>
      <c r="I48" s="1"/>
      <c r="J48" s="1"/>
      <c r="K48" s="13" t="s">
        <v>1</v>
      </c>
      <c r="L48" s="13" t="s">
        <v>23</v>
      </c>
      <c r="M48" s="1"/>
      <c r="N48" s="1"/>
      <c r="O48" s="1"/>
      <c r="P48" s="1"/>
      <c r="Q48" s="1"/>
      <c r="R48" s="1"/>
      <c r="S48" s="1"/>
    </row>
    <row r="49" ht="15.75" customHeight="1">
      <c r="B49" s="41"/>
      <c r="C49" s="43"/>
      <c r="D49" s="43"/>
      <c r="E49" s="44"/>
      <c r="F49" s="45"/>
      <c r="G49" s="1"/>
      <c r="H49" s="1"/>
      <c r="I49" s="1"/>
      <c r="J49" s="1"/>
      <c r="K49" s="41" t="s">
        <v>5</v>
      </c>
      <c r="L49" s="53">
        <v>158.0</v>
      </c>
      <c r="M49" s="1"/>
      <c r="N49" s="1"/>
      <c r="O49" s="1"/>
      <c r="P49" s="1"/>
      <c r="Q49" s="1"/>
      <c r="R49" s="1"/>
      <c r="S49" s="1"/>
    </row>
    <row r="50" ht="15.75" customHeight="1">
      <c r="B50" s="41"/>
      <c r="C50" s="43"/>
      <c r="D50" s="43"/>
      <c r="E50" s="44"/>
      <c r="F50" s="45"/>
      <c r="G50" s="1"/>
      <c r="H50" s="1"/>
      <c r="I50" s="1"/>
      <c r="J50" s="1"/>
      <c r="K50" s="41" t="s">
        <v>8</v>
      </c>
      <c r="L50" s="53">
        <v>147.0</v>
      </c>
      <c r="M50" s="1"/>
      <c r="N50" s="1"/>
      <c r="O50" s="1"/>
      <c r="P50" s="1"/>
      <c r="Q50" s="1"/>
      <c r="R50" s="1"/>
      <c r="S50" s="1"/>
    </row>
    <row r="51" ht="15.75" customHeight="1">
      <c r="B51" s="41"/>
      <c r="C51" s="43"/>
      <c r="D51" s="43"/>
      <c r="E51" s="44"/>
      <c r="F51" s="45"/>
      <c r="G51" s="1"/>
      <c r="H51" s="1"/>
      <c r="I51" s="1"/>
      <c r="J51" s="1"/>
      <c r="K51" s="41" t="s">
        <v>3</v>
      </c>
      <c r="L51" s="53">
        <v>142.0</v>
      </c>
      <c r="M51" s="1"/>
      <c r="N51" s="1"/>
      <c r="O51" s="1"/>
      <c r="P51" s="1"/>
      <c r="Q51" s="1"/>
      <c r="R51" s="1"/>
      <c r="S51" s="1"/>
    </row>
    <row r="52" ht="15.75" customHeight="1">
      <c r="B52" s="41"/>
      <c r="C52" s="43"/>
      <c r="D52" s="43"/>
      <c r="E52" s="44"/>
      <c r="F52" s="45"/>
      <c r="G52" s="1"/>
      <c r="H52" s="1"/>
      <c r="I52" s="1"/>
      <c r="J52" s="1"/>
      <c r="K52" s="41" t="s">
        <v>4</v>
      </c>
      <c r="L52" s="53">
        <v>127.0</v>
      </c>
      <c r="M52" s="1"/>
      <c r="N52" s="1"/>
      <c r="O52" s="1"/>
      <c r="P52" s="1"/>
      <c r="Q52" s="1"/>
      <c r="R52" s="1"/>
      <c r="S52" s="1"/>
    </row>
    <row r="53" ht="15.75" customHeight="1">
      <c r="B53" s="41"/>
      <c r="C53" s="43"/>
      <c r="D53" s="43"/>
      <c r="E53" s="44"/>
      <c r="F53" s="45"/>
      <c r="G53" s="1"/>
      <c r="H53" s="1"/>
      <c r="I53" s="1"/>
      <c r="J53" s="1"/>
      <c r="K53" s="41" t="s">
        <v>6</v>
      </c>
      <c r="L53" s="53">
        <v>121.0</v>
      </c>
      <c r="M53" s="1"/>
      <c r="N53" s="1"/>
      <c r="O53" s="1"/>
      <c r="P53" s="1"/>
      <c r="Q53" s="1"/>
      <c r="R53" s="1"/>
      <c r="S53" s="1"/>
    </row>
    <row r="54" ht="53.25" customHeight="1">
      <c r="B54" s="1"/>
      <c r="C54" s="1"/>
      <c r="D54" s="1"/>
      <c r="E54" s="1"/>
      <c r="F54" s="1"/>
      <c r="G54" s="1"/>
      <c r="H54" s="1"/>
      <c r="I54" s="1"/>
      <c r="K54" s="41" t="s">
        <v>7</v>
      </c>
      <c r="L54" s="53">
        <v>111.0</v>
      </c>
      <c r="M54" s="1"/>
      <c r="N54" s="1"/>
      <c r="O54" s="1"/>
      <c r="P54" s="1"/>
      <c r="Q54" s="1"/>
      <c r="R54" s="1"/>
      <c r="S54" s="1"/>
    </row>
    <row r="55" ht="15.75" customHeight="1">
      <c r="B55" s="13"/>
      <c r="C55" s="1"/>
      <c r="D55" s="1"/>
      <c r="E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  <c r="S55" s="1"/>
    </row>
    <row r="56" ht="15.75" customHeight="1">
      <c r="B56" s="41"/>
      <c r="C56" s="1"/>
      <c r="D56" s="1"/>
      <c r="E56" s="1"/>
      <c r="F56" s="1"/>
      <c r="G56" s="1"/>
      <c r="H56" s="1"/>
      <c r="I56" s="1"/>
      <c r="K56" s="59" t="s">
        <v>29</v>
      </c>
      <c r="L56" s="35"/>
      <c r="M56" s="35"/>
      <c r="N56" s="35"/>
      <c r="O56" s="35"/>
      <c r="P56" s="35"/>
      <c r="Q56" s="35"/>
      <c r="R56" s="36"/>
      <c r="S56" s="1"/>
    </row>
    <row r="57" ht="15.75" customHeight="1">
      <c r="B57" s="41"/>
      <c r="C57" s="1"/>
      <c r="D57" s="1"/>
      <c r="E57" s="1"/>
      <c r="F57" s="1"/>
      <c r="G57" s="1"/>
      <c r="H57" s="1"/>
      <c r="I57" s="1"/>
      <c r="K57" s="61"/>
      <c r="L57" s="62" t="s">
        <v>30</v>
      </c>
      <c r="M57" s="62" t="s">
        <v>31</v>
      </c>
      <c r="N57" s="63" t="s">
        <v>32</v>
      </c>
      <c r="O57" s="64" t="s">
        <v>33</v>
      </c>
      <c r="P57" s="63" t="s">
        <v>34</v>
      </c>
      <c r="Q57" s="62" t="s">
        <v>35</v>
      </c>
      <c r="R57" s="62" t="s">
        <v>36</v>
      </c>
      <c r="S57" s="1"/>
    </row>
    <row r="58" ht="15.75" customHeight="1">
      <c r="B58" s="41"/>
      <c r="C58" s="1"/>
      <c r="D58" s="1"/>
      <c r="E58" s="1"/>
      <c r="F58" s="1"/>
      <c r="G58" s="1"/>
      <c r="H58" s="1"/>
      <c r="I58" s="1"/>
      <c r="K58" s="61" t="s">
        <v>19</v>
      </c>
      <c r="L58" s="65">
        <v>3.0</v>
      </c>
      <c r="M58" s="65">
        <v>5.0</v>
      </c>
      <c r="N58" s="66">
        <f t="shared" ref="N58:N63" si="18">L58*M58</f>
        <v>15</v>
      </c>
      <c r="O58" s="67">
        <v>4.0</v>
      </c>
      <c r="P58" s="66">
        <f t="shared" ref="P58:P63" si="19">L58*O58</f>
        <v>12</v>
      </c>
      <c r="Q58" s="68">
        <f t="shared" ref="Q58:Q64" si="20">P58/N58</f>
        <v>0.8</v>
      </c>
      <c r="R58" s="68">
        <f t="shared" ref="R58:R63" si="21">Q58*L58</f>
        <v>2.4</v>
      </c>
      <c r="S58" s="1"/>
    </row>
    <row r="59" ht="15.75" customHeight="1">
      <c r="B59" s="41"/>
      <c r="C59" s="1"/>
      <c r="D59" s="1"/>
      <c r="E59" s="1"/>
      <c r="F59" s="1"/>
      <c r="G59" s="1"/>
      <c r="H59" s="1"/>
      <c r="I59" s="1"/>
      <c r="K59" s="61" t="s">
        <v>20</v>
      </c>
      <c r="L59" s="65">
        <v>1.0</v>
      </c>
      <c r="M59" s="65">
        <v>5.0</v>
      </c>
      <c r="N59" s="66">
        <f t="shared" si="18"/>
        <v>5</v>
      </c>
      <c r="O59" s="67">
        <v>2.0</v>
      </c>
      <c r="P59" s="66">
        <f t="shared" si="19"/>
        <v>2</v>
      </c>
      <c r="Q59" s="68">
        <f t="shared" si="20"/>
        <v>0.4</v>
      </c>
      <c r="R59" s="68">
        <f t="shared" si="21"/>
        <v>0.4</v>
      </c>
      <c r="S59" s="1"/>
    </row>
    <row r="60" ht="15.75" customHeight="1">
      <c r="B60" s="41"/>
      <c r="C60" s="1"/>
      <c r="D60" s="1"/>
      <c r="E60" s="1"/>
      <c r="F60" s="1"/>
      <c r="G60" s="1"/>
      <c r="H60" s="1"/>
      <c r="I60" s="1"/>
      <c r="K60" s="61" t="s">
        <v>21</v>
      </c>
      <c r="L60" s="65">
        <v>4.0</v>
      </c>
      <c r="M60" s="65">
        <v>5.0</v>
      </c>
      <c r="N60" s="66">
        <f t="shared" si="18"/>
        <v>20</v>
      </c>
      <c r="O60" s="67">
        <v>3.0</v>
      </c>
      <c r="P60" s="66">
        <f t="shared" si="19"/>
        <v>12</v>
      </c>
      <c r="Q60" s="68">
        <f t="shared" si="20"/>
        <v>0.6</v>
      </c>
      <c r="R60" s="68">
        <f t="shared" si="21"/>
        <v>2.4</v>
      </c>
      <c r="S60" s="1"/>
    </row>
    <row r="61" ht="15.75" customHeight="1">
      <c r="B61" s="41"/>
      <c r="C61" s="1"/>
      <c r="D61" s="1"/>
      <c r="E61" s="1"/>
      <c r="F61" s="1"/>
      <c r="G61" s="1"/>
      <c r="H61" s="1"/>
      <c r="I61" s="1"/>
      <c r="K61" s="61" t="s">
        <v>22</v>
      </c>
      <c r="L61" s="65">
        <v>2.0</v>
      </c>
      <c r="M61" s="65">
        <v>5.0</v>
      </c>
      <c r="N61" s="66">
        <f t="shared" si="18"/>
        <v>10</v>
      </c>
      <c r="O61" s="67">
        <v>5.0</v>
      </c>
      <c r="P61" s="66">
        <f t="shared" si="19"/>
        <v>10</v>
      </c>
      <c r="Q61" s="68">
        <f t="shared" si="20"/>
        <v>1</v>
      </c>
      <c r="R61" s="68">
        <f t="shared" si="21"/>
        <v>2</v>
      </c>
      <c r="S61" s="70"/>
    </row>
    <row r="62" ht="15.75" customHeight="1">
      <c r="B62" s="1"/>
      <c r="C62" s="1"/>
      <c r="D62" s="1"/>
      <c r="E62" s="1"/>
      <c r="F62" s="1"/>
      <c r="G62" s="1"/>
      <c r="H62" s="1"/>
      <c r="I62" s="1"/>
      <c r="K62" s="61" t="s">
        <v>37</v>
      </c>
      <c r="L62" s="65">
        <v>5.0</v>
      </c>
      <c r="M62" s="65">
        <v>5.0</v>
      </c>
      <c r="N62" s="66">
        <f t="shared" si="18"/>
        <v>25</v>
      </c>
      <c r="O62" s="67">
        <v>3.0</v>
      </c>
      <c r="P62" s="66">
        <f t="shared" si="19"/>
        <v>15</v>
      </c>
      <c r="Q62" s="68">
        <f t="shared" si="20"/>
        <v>0.6</v>
      </c>
      <c r="R62" s="68">
        <f t="shared" si="21"/>
        <v>3</v>
      </c>
      <c r="S62" s="1"/>
    </row>
    <row r="63" ht="15.75" customHeight="1">
      <c r="B63" s="59"/>
      <c r="C63" s="35"/>
      <c r="D63" s="35"/>
      <c r="E63" s="36"/>
      <c r="F63" s="1"/>
      <c r="G63" s="1"/>
      <c r="H63" s="1"/>
      <c r="I63" s="1"/>
      <c r="K63" s="61" t="s">
        <v>18</v>
      </c>
      <c r="L63" s="65">
        <v>3.0</v>
      </c>
      <c r="M63" s="65">
        <v>5.0</v>
      </c>
      <c r="N63" s="66">
        <f t="shared" si="18"/>
        <v>15</v>
      </c>
      <c r="O63" s="67">
        <v>3.0</v>
      </c>
      <c r="P63" s="66">
        <f t="shared" si="19"/>
        <v>9</v>
      </c>
      <c r="Q63" s="68">
        <f t="shared" si="20"/>
        <v>0.6</v>
      </c>
      <c r="R63" s="68">
        <f t="shared" si="21"/>
        <v>1.8</v>
      </c>
      <c r="S63" s="1"/>
    </row>
    <row r="64" ht="15.75" customHeight="1">
      <c r="B64" s="61"/>
      <c r="C64" s="63"/>
      <c r="D64" s="62"/>
      <c r="E64" s="62"/>
      <c r="F64" s="1"/>
      <c r="G64" s="1"/>
      <c r="H64" s="1"/>
      <c r="I64" s="1"/>
      <c r="K64" s="72"/>
      <c r="L64" s="62">
        <f t="shared" ref="L64:P64" si="22">SUM(L58:L63)</f>
        <v>18</v>
      </c>
      <c r="M64" s="62">
        <f t="shared" si="22"/>
        <v>30</v>
      </c>
      <c r="N64" s="62">
        <f t="shared" si="22"/>
        <v>90</v>
      </c>
      <c r="O64" s="62">
        <f t="shared" si="22"/>
        <v>20</v>
      </c>
      <c r="P64" s="62">
        <f t="shared" si="22"/>
        <v>60</v>
      </c>
      <c r="Q64" s="68">
        <f t="shared" si="20"/>
        <v>0.6666666667</v>
      </c>
      <c r="R64" s="73">
        <f>SUM(R58:R63)</f>
        <v>12</v>
      </c>
      <c r="S64" s="70"/>
    </row>
    <row r="65" ht="15.75" customHeight="1">
      <c r="B65" s="61"/>
      <c r="C65" s="66"/>
      <c r="D65" s="68"/>
      <c r="E65" s="68"/>
      <c r="F65" s="1"/>
      <c r="G65" s="1"/>
      <c r="H65" s="1"/>
      <c r="I65" s="1"/>
      <c r="K65" s="72"/>
      <c r="L65" s="72"/>
      <c r="M65" s="72"/>
      <c r="N65" s="74"/>
      <c r="O65" s="72"/>
      <c r="P65" s="74"/>
      <c r="Q65" s="72"/>
      <c r="R65" s="73">
        <f>R64/L64</f>
        <v>0.6666666667</v>
      </c>
      <c r="S65" s="70"/>
    </row>
    <row r="66" ht="15.75" customHeight="1">
      <c r="B66" s="72"/>
      <c r="C66" s="62"/>
      <c r="D66" s="68"/>
      <c r="E66" s="73"/>
      <c r="F66" s="70"/>
      <c r="G66" s="77"/>
      <c r="H66" s="70"/>
      <c r="I66" s="70"/>
      <c r="J66" s="7"/>
    </row>
    <row r="67" ht="15.75" customHeight="1">
      <c r="B67" s="72"/>
      <c r="C67" s="74"/>
      <c r="D67" s="72"/>
      <c r="E67" s="73"/>
      <c r="F67" s="70"/>
      <c r="G67" s="77"/>
      <c r="H67" s="70"/>
      <c r="I67" s="70"/>
      <c r="J67" s="7"/>
    </row>
  </sheetData>
  <mergeCells count="6">
    <mergeCell ref="K39:S39"/>
    <mergeCell ref="K56:R56"/>
    <mergeCell ref="K30:S30"/>
    <mergeCell ref="B37:F37"/>
    <mergeCell ref="B46:F46"/>
    <mergeCell ref="B63:E63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1"/>
    <hyperlink r:id="rId9" ref="B13"/>
    <hyperlink r:id="rId10" ref="B14"/>
    <hyperlink r:id="rId11" ref="B15"/>
    <hyperlink r:id="rId12" ref="B16"/>
    <hyperlink r:id="rId13" ref="B17"/>
    <hyperlink r:id="rId14" ref="B18"/>
    <hyperlink r:id="rId15" ref="B22"/>
    <hyperlink r:id="rId16" ref="B23"/>
    <hyperlink r:id="rId17" ref="L23"/>
    <hyperlink r:id="rId18" ref="M23"/>
    <hyperlink r:id="rId19" ref="N23"/>
    <hyperlink r:id="rId20" ref="O23"/>
    <hyperlink r:id="rId21" ref="P23"/>
    <hyperlink r:id="rId22" ref="Q23"/>
    <hyperlink r:id="rId23" ref="R23"/>
    <hyperlink r:id="rId24" ref="B24"/>
    <hyperlink r:id="rId25" ref="L24"/>
    <hyperlink r:id="rId26" ref="M24"/>
    <hyperlink r:id="rId27" ref="N24"/>
    <hyperlink r:id="rId28" ref="O24"/>
    <hyperlink r:id="rId29" ref="P24"/>
    <hyperlink r:id="rId30" ref="Q24"/>
    <hyperlink r:id="rId31" ref="R24"/>
    <hyperlink r:id="rId32" ref="B25"/>
    <hyperlink r:id="rId33" ref="L25"/>
    <hyperlink r:id="rId34" ref="M25"/>
    <hyperlink r:id="rId35" ref="N25"/>
    <hyperlink r:id="rId36" ref="O25"/>
    <hyperlink r:id="rId37" ref="P25"/>
    <hyperlink r:id="rId38" ref="Q25"/>
    <hyperlink r:id="rId39" ref="R25"/>
    <hyperlink r:id="rId40" ref="B26"/>
    <hyperlink r:id="rId41" ref="L26"/>
    <hyperlink r:id="rId42" ref="M26"/>
    <hyperlink r:id="rId43" ref="N26"/>
    <hyperlink r:id="rId44" ref="O26"/>
    <hyperlink r:id="rId45" ref="P26"/>
    <hyperlink r:id="rId46" ref="Q26"/>
    <hyperlink r:id="rId47" ref="R26"/>
    <hyperlink r:id="rId48" ref="B27"/>
    <hyperlink r:id="rId49" ref="L27"/>
    <hyperlink r:id="rId50" ref="M27"/>
    <hyperlink r:id="rId51" ref="N27"/>
    <hyperlink r:id="rId52" ref="O27"/>
    <hyperlink r:id="rId53" ref="P27"/>
    <hyperlink r:id="rId54" ref="Q27"/>
    <hyperlink r:id="rId55" ref="R27"/>
    <hyperlink r:id="rId56" ref="L28"/>
    <hyperlink r:id="rId57" ref="M28"/>
    <hyperlink r:id="rId58" ref="N28"/>
    <hyperlink r:id="rId59" ref="O28"/>
    <hyperlink r:id="rId60" ref="P28"/>
    <hyperlink r:id="rId61" ref="Q28"/>
    <hyperlink r:id="rId62" ref="R28"/>
  </hyperlinks>
  <printOptions/>
  <pageMargins bottom="0.787401575" footer="0.0" header="0.0" left="0.511811024" right="0.511811024" top="0.787401575"/>
  <pageSetup orientation="landscape"/>
  <drawing r:id="rId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56"/>
    <col customWidth="1" min="2" max="2" width="14.78"/>
    <col customWidth="1" min="3" max="4" width="11.0"/>
    <col customWidth="1" min="5" max="6" width="10.67"/>
    <col customWidth="1" min="7" max="7" width="6.22"/>
    <col customWidth="1" min="11" max="11" width="2.78"/>
  </cols>
  <sheetData>
    <row r="1" ht="9.0" customHeight="1">
      <c r="B1" s="1"/>
      <c r="C1" s="2"/>
      <c r="D1" s="2"/>
      <c r="E1" s="2"/>
      <c r="F1" s="2"/>
      <c r="G1" s="1"/>
      <c r="H1" s="1"/>
      <c r="I1" s="1"/>
    </row>
    <row r="2" ht="15.75" customHeight="1">
      <c r="B2" s="78" t="s">
        <v>0</v>
      </c>
      <c r="C2" s="4"/>
      <c r="D2" s="2"/>
      <c r="E2" s="2"/>
      <c r="F2" s="2"/>
      <c r="G2" s="1"/>
      <c r="H2" s="1"/>
      <c r="I2" s="1"/>
    </row>
    <row r="3" ht="15.75" customHeight="1">
      <c r="B3" s="5" t="s">
        <v>1</v>
      </c>
      <c r="C3" s="6" t="s">
        <v>2</v>
      </c>
      <c r="D3" s="2"/>
      <c r="E3" s="1"/>
      <c r="F3" s="1"/>
      <c r="G3" s="1"/>
      <c r="H3" s="1"/>
      <c r="I3" s="1"/>
    </row>
    <row r="4" ht="15.75" customHeight="1">
      <c r="A4" s="7"/>
      <c r="B4" s="79" t="s">
        <v>5</v>
      </c>
      <c r="C4" s="80">
        <v>391.0</v>
      </c>
      <c r="D4" s="2"/>
      <c r="E4" s="1"/>
      <c r="F4" s="1"/>
      <c r="G4" s="1"/>
      <c r="H4" s="1"/>
      <c r="I4" s="1"/>
    </row>
    <row r="5" ht="15.75" customHeight="1">
      <c r="A5" s="7"/>
      <c r="B5" s="79" t="s">
        <v>41</v>
      </c>
      <c r="C5" s="80">
        <v>264.0</v>
      </c>
      <c r="D5" s="2"/>
      <c r="E5" s="1"/>
      <c r="F5" s="1"/>
      <c r="G5" s="1"/>
      <c r="H5" s="1"/>
      <c r="I5" s="1"/>
    </row>
    <row r="6" ht="15.75" customHeight="1">
      <c r="A6" s="7"/>
      <c r="B6" s="79" t="s">
        <v>3</v>
      </c>
      <c r="C6" s="80">
        <v>248.0</v>
      </c>
      <c r="D6" s="2"/>
      <c r="E6" s="1"/>
      <c r="F6" s="1"/>
      <c r="G6" s="1"/>
      <c r="H6" s="1"/>
      <c r="I6" s="1"/>
    </row>
    <row r="7" ht="15.75" customHeight="1">
      <c r="A7" s="7"/>
      <c r="B7" s="79" t="s">
        <v>42</v>
      </c>
      <c r="C7" s="80">
        <v>139.0</v>
      </c>
      <c r="D7" s="2"/>
      <c r="E7" s="1"/>
      <c r="F7" s="1"/>
      <c r="G7" s="1"/>
      <c r="H7" s="1"/>
      <c r="I7" s="1"/>
    </row>
    <row r="8" ht="15.75" customHeight="1">
      <c r="A8" s="7"/>
      <c r="B8" s="79" t="s">
        <v>6</v>
      </c>
      <c r="C8" s="80">
        <v>81.0</v>
      </c>
      <c r="D8" s="2"/>
      <c r="E8" s="1"/>
      <c r="F8" s="1"/>
      <c r="G8" s="1"/>
      <c r="H8" s="1"/>
      <c r="I8" s="1"/>
    </row>
    <row r="9" ht="15.75" customHeight="1">
      <c r="A9" s="7"/>
      <c r="B9" s="79" t="s">
        <v>4</v>
      </c>
      <c r="C9" s="80">
        <v>39.0</v>
      </c>
      <c r="D9" s="2"/>
      <c r="E9" s="1"/>
      <c r="F9" s="1"/>
      <c r="G9" s="1"/>
      <c r="H9" s="1"/>
      <c r="I9" s="1"/>
    </row>
    <row r="10" ht="15.75" customHeight="1">
      <c r="A10" s="7"/>
      <c r="B10" s="81" t="s">
        <v>8</v>
      </c>
      <c r="C10" s="80">
        <v>33.0</v>
      </c>
      <c r="D10" s="2"/>
      <c r="E10" s="1"/>
      <c r="F10" s="1"/>
      <c r="G10" s="1"/>
      <c r="H10" s="1"/>
      <c r="I10" s="1"/>
    </row>
    <row r="11" ht="15.75" customHeight="1">
      <c r="A11" s="7"/>
      <c r="B11" s="79" t="s">
        <v>7</v>
      </c>
      <c r="C11" s="80">
        <v>26.0</v>
      </c>
      <c r="D11" s="2"/>
      <c r="E11" s="1"/>
      <c r="F11" s="1"/>
      <c r="G11" s="1"/>
      <c r="H11" s="1"/>
      <c r="I11" s="1"/>
    </row>
    <row r="12" ht="15.75" customHeight="1">
      <c r="A12" s="7"/>
      <c r="B12" s="81" t="s">
        <v>43</v>
      </c>
      <c r="C12" s="80">
        <v>21.0</v>
      </c>
      <c r="D12" s="2"/>
      <c r="E12" s="1"/>
      <c r="F12" s="1"/>
      <c r="G12" s="1"/>
      <c r="H12" s="1"/>
      <c r="I12" s="1"/>
    </row>
    <row r="13" ht="15.75" customHeight="1">
      <c r="A13" s="7"/>
      <c r="B13" s="81" t="s">
        <v>44</v>
      </c>
      <c r="C13" s="80">
        <v>17.0</v>
      </c>
      <c r="D13" s="2"/>
      <c r="E13" s="1"/>
      <c r="F13" s="1"/>
      <c r="G13" s="1"/>
      <c r="H13" s="1"/>
      <c r="I13" s="1"/>
    </row>
    <row r="14" ht="15.75" customHeight="1">
      <c r="A14" s="7"/>
      <c r="B14" s="1"/>
      <c r="C14" s="1"/>
      <c r="D14" s="1"/>
      <c r="E14" s="1"/>
      <c r="F14" s="1"/>
      <c r="G14" s="1"/>
      <c r="H14" s="1"/>
      <c r="I14" s="1"/>
    </row>
    <row r="15" ht="15.75" customHeight="1">
      <c r="A15" s="7"/>
      <c r="B15" s="82" t="s">
        <v>9</v>
      </c>
      <c r="C15" s="1"/>
      <c r="D15" s="1"/>
      <c r="E15" s="1"/>
      <c r="F15" s="1"/>
      <c r="G15" s="1"/>
      <c r="H15" s="1"/>
      <c r="I15" s="1"/>
    </row>
    <row r="16" ht="15.75" customHeight="1">
      <c r="B16" s="12" t="s">
        <v>1</v>
      </c>
      <c r="C16" s="13" t="s">
        <v>10</v>
      </c>
      <c r="D16" s="1"/>
      <c r="E16" s="1"/>
      <c r="F16" s="1"/>
      <c r="G16" s="1"/>
      <c r="H16" s="1"/>
      <c r="I16" s="1"/>
    </row>
    <row r="17" ht="15.75" customHeight="1">
      <c r="A17" s="14">
        <v>7.0</v>
      </c>
      <c r="B17" s="83" t="s">
        <v>41</v>
      </c>
      <c r="C17" s="100">
        <v>369000.0</v>
      </c>
      <c r="D17" s="1"/>
      <c r="E17" s="1"/>
      <c r="F17" s="1"/>
      <c r="G17" s="1"/>
      <c r="H17" s="1"/>
      <c r="I17" s="1"/>
    </row>
    <row r="18" ht="15.75" customHeight="1">
      <c r="A18" s="14">
        <v>7.0</v>
      </c>
      <c r="B18" s="83" t="s">
        <v>6</v>
      </c>
      <c r="C18" s="100">
        <v>129000.0</v>
      </c>
      <c r="D18" s="1"/>
      <c r="E18" s="1"/>
      <c r="F18" s="1"/>
      <c r="G18" s="1"/>
      <c r="H18" s="1"/>
      <c r="I18" s="1"/>
    </row>
    <row r="19" ht="15.75" customHeight="1">
      <c r="A19" s="14">
        <v>7.0</v>
      </c>
      <c r="B19" s="83" t="s">
        <v>3</v>
      </c>
      <c r="C19" s="100">
        <v>23000.0</v>
      </c>
      <c r="D19" s="1"/>
      <c r="E19" s="1"/>
      <c r="F19" s="1"/>
      <c r="G19" s="1"/>
      <c r="H19" s="1"/>
      <c r="I19" s="1"/>
    </row>
    <row r="20" ht="15.75" customHeight="1">
      <c r="A20" s="14">
        <v>7.0</v>
      </c>
      <c r="B20" s="83" t="s">
        <v>7</v>
      </c>
      <c r="C20" s="100">
        <v>13000.0</v>
      </c>
      <c r="D20" s="1"/>
      <c r="E20" s="1"/>
      <c r="F20" s="1"/>
      <c r="G20" s="1"/>
      <c r="H20" s="1"/>
      <c r="I20" s="1"/>
    </row>
    <row r="21" ht="15.75" customHeight="1">
      <c r="A21" s="14">
        <v>7.0</v>
      </c>
      <c r="B21" s="83" t="s">
        <v>43</v>
      </c>
      <c r="C21" s="100">
        <v>9900.0</v>
      </c>
      <c r="D21" s="1"/>
      <c r="E21" s="1"/>
      <c r="F21" s="1"/>
      <c r="G21" s="1"/>
      <c r="H21" s="1"/>
      <c r="I21" s="1"/>
    </row>
    <row r="22" ht="15.75" customHeight="1">
      <c r="A22" s="14">
        <v>7.0</v>
      </c>
      <c r="B22" s="83" t="s">
        <v>5</v>
      </c>
      <c r="C22" s="100">
        <v>7400.0</v>
      </c>
      <c r="D22" s="1"/>
      <c r="E22" s="1"/>
      <c r="F22" s="1"/>
      <c r="G22" s="1"/>
      <c r="H22" s="1"/>
      <c r="I22" s="1"/>
    </row>
    <row r="23" ht="15.75" customHeight="1">
      <c r="A23" s="14">
        <v>7.0</v>
      </c>
      <c r="B23" s="85" t="s">
        <v>8</v>
      </c>
      <c r="C23" s="100">
        <v>6700.0</v>
      </c>
      <c r="D23" s="1"/>
      <c r="E23" s="1"/>
      <c r="F23" s="1"/>
      <c r="G23" s="1"/>
      <c r="H23" s="1"/>
      <c r="I23" s="1"/>
    </row>
    <row r="24" ht="15.75" customHeight="1">
      <c r="A24" s="14">
        <v>7.0</v>
      </c>
      <c r="B24" s="83" t="s">
        <v>42</v>
      </c>
      <c r="C24" s="100">
        <v>1000.0</v>
      </c>
      <c r="D24" s="1"/>
      <c r="E24" s="1"/>
      <c r="F24" s="1"/>
      <c r="G24" s="1"/>
      <c r="H24" s="1"/>
      <c r="I24" s="1"/>
    </row>
    <row r="25" ht="15.75" customHeight="1">
      <c r="A25" s="14">
        <v>7.0</v>
      </c>
      <c r="B25" s="83" t="s">
        <v>4</v>
      </c>
      <c r="C25" s="101">
        <v>295.0</v>
      </c>
      <c r="D25" s="1"/>
      <c r="E25" s="1"/>
      <c r="F25" s="1"/>
      <c r="G25" s="1"/>
      <c r="H25" s="1"/>
      <c r="I25" s="1"/>
    </row>
    <row r="26" ht="15.75" customHeight="1">
      <c r="A26" s="14">
        <v>7.0</v>
      </c>
      <c r="B26" s="83" t="s">
        <v>44</v>
      </c>
      <c r="C26" s="101">
        <v>27.0</v>
      </c>
      <c r="D26" s="1"/>
      <c r="E26" s="1"/>
      <c r="F26" s="1"/>
      <c r="G26" s="1"/>
      <c r="H26" s="1"/>
      <c r="I26" s="1"/>
    </row>
    <row r="27" ht="15.75" customHeight="1">
      <c r="A27" s="14"/>
      <c r="B27" s="1"/>
      <c r="C27" s="2"/>
      <c r="D27" s="2"/>
      <c r="E27" s="2"/>
      <c r="F27" s="2"/>
      <c r="G27" s="1"/>
      <c r="H27" s="1"/>
      <c r="I27" s="1"/>
    </row>
    <row r="28" ht="15.75" customHeight="1">
      <c r="B28" s="87" t="s">
        <v>11</v>
      </c>
      <c r="C28" s="20"/>
      <c r="D28" s="21"/>
      <c r="E28" s="21"/>
      <c r="F28" s="21"/>
      <c r="G28" s="1"/>
      <c r="H28" s="1"/>
      <c r="I28" s="1"/>
    </row>
    <row r="29" ht="21.0" customHeight="1">
      <c r="B29" s="22" t="s">
        <v>1</v>
      </c>
      <c r="C29" s="22" t="s">
        <v>2</v>
      </c>
      <c r="D29" s="1"/>
      <c r="E29" s="1"/>
      <c r="F29" s="1"/>
      <c r="G29" s="1"/>
      <c r="H29" s="1"/>
    </row>
    <row r="30" ht="15.75" customHeight="1">
      <c r="A30" s="7"/>
      <c r="B30" s="89" t="s">
        <v>41</v>
      </c>
      <c r="C30" s="88">
        <v>0.5</v>
      </c>
      <c r="D30" s="1"/>
      <c r="E30" s="1"/>
      <c r="F30" s="1"/>
      <c r="G30" s="1"/>
      <c r="H30" s="1"/>
    </row>
    <row r="31" ht="15.75" customHeight="1">
      <c r="A31" s="7"/>
      <c r="B31" s="85" t="s">
        <v>8</v>
      </c>
      <c r="C31" s="88">
        <v>0.1078</v>
      </c>
      <c r="D31" s="1"/>
      <c r="E31" s="1"/>
      <c r="F31" s="1"/>
      <c r="G31" s="1"/>
      <c r="H31" s="1"/>
    </row>
    <row r="32" ht="15.75" customHeight="1">
      <c r="A32" s="7"/>
      <c r="B32" s="85" t="s">
        <v>3</v>
      </c>
      <c r="C32" s="88">
        <v>0.1022</v>
      </c>
      <c r="D32" s="1"/>
      <c r="E32" s="1"/>
      <c r="F32" s="1"/>
      <c r="G32" s="1"/>
      <c r="H32" s="1"/>
    </row>
    <row r="33" ht="15.75" customHeight="1">
      <c r="A33" s="7"/>
      <c r="B33" s="85" t="s">
        <v>7</v>
      </c>
      <c r="C33" s="88">
        <v>0.0807</v>
      </c>
      <c r="D33" s="1"/>
      <c r="E33" s="1"/>
      <c r="F33" s="1"/>
      <c r="G33" s="1"/>
      <c r="H33" s="1"/>
    </row>
    <row r="34" ht="15.75" customHeight="1">
      <c r="A34" s="7"/>
      <c r="B34" s="85" t="s">
        <v>43</v>
      </c>
      <c r="C34" s="88">
        <v>0.0704</v>
      </c>
      <c r="D34" s="1"/>
      <c r="E34" s="1"/>
      <c r="F34" s="1"/>
      <c r="G34" s="1"/>
      <c r="H34" s="1"/>
    </row>
    <row r="35" ht="15.75" customHeight="1">
      <c r="A35" s="7"/>
      <c r="B35" s="85" t="s">
        <v>4</v>
      </c>
      <c r="C35" s="88">
        <v>0.0672</v>
      </c>
      <c r="D35" s="1"/>
      <c r="E35" s="1"/>
      <c r="F35" s="1"/>
      <c r="G35" s="1"/>
      <c r="H35" s="1"/>
    </row>
    <row r="36" ht="15.75" customHeight="1">
      <c r="A36" s="7"/>
      <c r="B36" s="89" t="s">
        <v>5</v>
      </c>
      <c r="C36" s="88">
        <v>0.0669</v>
      </c>
      <c r="D36" s="1"/>
      <c r="E36" s="1"/>
      <c r="F36" s="1"/>
      <c r="G36" s="1"/>
      <c r="H36" s="1"/>
    </row>
    <row r="37" ht="15.75" customHeight="1">
      <c r="A37" s="7"/>
      <c r="B37" s="85" t="s">
        <v>44</v>
      </c>
      <c r="C37" s="88">
        <v>0.0588</v>
      </c>
      <c r="D37" s="1"/>
      <c r="E37" s="1"/>
      <c r="F37" s="1"/>
      <c r="G37" s="1"/>
      <c r="H37" s="1"/>
    </row>
    <row r="38" ht="15.75" customHeight="1">
      <c r="A38" s="7"/>
      <c r="B38" s="89" t="s">
        <v>42</v>
      </c>
      <c r="C38" s="88">
        <v>0.006</v>
      </c>
      <c r="D38" s="1"/>
      <c r="E38" s="1"/>
      <c r="F38" s="1"/>
      <c r="G38" s="1"/>
      <c r="H38" s="1"/>
    </row>
    <row r="39" ht="15.75" customHeight="1">
      <c r="A39" s="7"/>
      <c r="B39" s="85" t="s">
        <v>6</v>
      </c>
      <c r="C39" s="88">
        <v>0.0057</v>
      </c>
      <c r="D39" s="1"/>
      <c r="E39" s="1"/>
      <c r="F39" s="1"/>
      <c r="G39" s="1"/>
      <c r="H39" s="1"/>
    </row>
    <row r="40" ht="15.75" customHeight="1">
      <c r="A40" s="7"/>
      <c r="B40" s="1"/>
      <c r="C40" s="1"/>
      <c r="D40" s="2"/>
      <c r="E40" s="2"/>
      <c r="F40" s="2"/>
      <c r="G40" s="1"/>
      <c r="H40" s="1"/>
      <c r="I40" s="1"/>
    </row>
    <row r="41" ht="15.75" customHeight="1">
      <c r="B41" s="90" t="s">
        <v>12</v>
      </c>
      <c r="C41" s="1"/>
      <c r="D41" s="2"/>
      <c r="E41" s="2"/>
      <c r="F41" s="2"/>
      <c r="G41" s="1"/>
      <c r="H41" s="1"/>
      <c r="I41" s="1"/>
    </row>
    <row r="42" ht="28.5" customHeight="1">
      <c r="A42" s="28"/>
      <c r="B42" s="29" t="s">
        <v>1</v>
      </c>
      <c r="C42" s="29" t="s">
        <v>2</v>
      </c>
      <c r="D42" s="27"/>
      <c r="E42" s="27"/>
      <c r="F42" s="28"/>
      <c r="G42" s="28"/>
      <c r="H42" s="28"/>
      <c r="I42" s="28"/>
      <c r="J42" s="28"/>
    </row>
    <row r="43" ht="15.75" customHeight="1">
      <c r="A43" s="7"/>
      <c r="B43" s="85" t="s">
        <v>8</v>
      </c>
      <c r="C43" s="88">
        <v>0.1149</v>
      </c>
      <c r="D43" s="2"/>
      <c r="E43" s="2"/>
      <c r="F43" s="1"/>
      <c r="G43" s="1"/>
      <c r="H43" s="1"/>
    </row>
    <row r="44" ht="15.75" customHeight="1">
      <c r="B44" s="85" t="s">
        <v>44</v>
      </c>
      <c r="C44" s="88">
        <v>0.0033</v>
      </c>
      <c r="D44" s="2"/>
      <c r="E44" s="2"/>
      <c r="F44" s="1"/>
      <c r="G44" s="1"/>
      <c r="H44" s="1"/>
    </row>
    <row r="45" ht="15.75" customHeight="1">
      <c r="A45" s="7"/>
      <c r="B45" s="85" t="s">
        <v>6</v>
      </c>
      <c r="C45" s="88">
        <v>7.0E-4</v>
      </c>
      <c r="D45" s="2"/>
      <c r="E45" s="2"/>
      <c r="F45" s="1"/>
      <c r="G45" s="1"/>
      <c r="H45" s="1"/>
    </row>
    <row r="46" ht="15.75" customHeight="1">
      <c r="B46" s="85" t="s">
        <v>41</v>
      </c>
      <c r="C46" s="88">
        <v>0.0</v>
      </c>
      <c r="D46" s="2"/>
      <c r="E46" s="2"/>
      <c r="F46" s="1"/>
      <c r="G46" s="1"/>
      <c r="H46" s="1"/>
    </row>
    <row r="47" ht="15.75" customHeight="1">
      <c r="A47" s="7"/>
      <c r="B47" s="85" t="s">
        <v>7</v>
      </c>
      <c r="C47" s="88">
        <v>0.0</v>
      </c>
      <c r="D47" s="2"/>
      <c r="E47" s="2"/>
      <c r="F47" s="1"/>
      <c r="G47" s="1"/>
      <c r="H47" s="1"/>
    </row>
    <row r="48" ht="15.75" customHeight="1">
      <c r="B48" s="85" t="s">
        <v>3</v>
      </c>
      <c r="C48" s="91">
        <v>0.0</v>
      </c>
      <c r="D48" s="2"/>
      <c r="E48" s="2"/>
      <c r="F48" s="1"/>
      <c r="G48" s="1"/>
      <c r="H48" s="1"/>
    </row>
    <row r="49" ht="15.75" customHeight="1">
      <c r="A49" s="7"/>
      <c r="B49" s="85" t="s">
        <v>43</v>
      </c>
      <c r="C49" s="88">
        <v>0.0</v>
      </c>
      <c r="D49" s="2"/>
      <c r="E49" s="2"/>
      <c r="F49" s="1"/>
      <c r="G49" s="1"/>
      <c r="H49" s="1"/>
    </row>
    <row r="50" ht="15.75" customHeight="1">
      <c r="B50" s="85" t="s">
        <v>5</v>
      </c>
      <c r="C50" s="88">
        <v>0.0</v>
      </c>
      <c r="D50" s="2"/>
      <c r="E50" s="2"/>
      <c r="F50" s="1"/>
      <c r="G50" s="1"/>
      <c r="H50" s="1"/>
    </row>
    <row r="51" ht="15.75" customHeight="1">
      <c r="A51" s="7"/>
      <c r="B51" s="85" t="s">
        <v>4</v>
      </c>
      <c r="C51" s="88">
        <v>0.0</v>
      </c>
      <c r="D51" s="2"/>
      <c r="E51" s="2"/>
      <c r="F51" s="1"/>
      <c r="G51" s="1"/>
      <c r="H51" s="1"/>
    </row>
    <row r="52" ht="15.75" customHeight="1">
      <c r="A52" s="7"/>
      <c r="B52" s="85" t="s">
        <v>42</v>
      </c>
      <c r="C52" s="88">
        <v>0.0</v>
      </c>
      <c r="D52" s="2"/>
      <c r="E52" s="2"/>
      <c r="F52" s="1"/>
      <c r="G52" s="1"/>
      <c r="H52" s="1"/>
    </row>
    <row r="53" ht="15.75" customHeight="1">
      <c r="B53" s="1"/>
      <c r="C53" s="30"/>
      <c r="D53" s="2"/>
      <c r="E53" s="2"/>
      <c r="F53" s="2"/>
      <c r="G53" s="1"/>
      <c r="H53" s="1"/>
      <c r="I53" s="1"/>
    </row>
  </sheetData>
  <mergeCells count="1">
    <mergeCell ref="B28:C28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30"/>
    <hyperlink r:id="rId23" ref="B31"/>
    <hyperlink r:id="rId24" ref="B32"/>
    <hyperlink r:id="rId25" ref="B33"/>
    <hyperlink r:id="rId26" ref="B34"/>
    <hyperlink r:id="rId27" ref="B35"/>
    <hyperlink r:id="rId28" ref="B36"/>
    <hyperlink r:id="rId29" ref="B37"/>
    <hyperlink r:id="rId30" ref="B38"/>
    <hyperlink r:id="rId31" ref="B39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</hyperlinks>
  <printOptions/>
  <pageMargins bottom="0.787401575" footer="0.0" header="0.0" left="0.511811024" right="0.511811024" top="0.8194444444444445"/>
  <pageSetup scale="45" orientation="portrait"/>
  <drawing r:id="rId4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32.44"/>
    <col customWidth="1" min="3" max="3" width="10.0"/>
    <col customWidth="1" min="4" max="4" width="10.22"/>
    <col customWidth="1" min="5" max="5" width="10.0"/>
    <col customWidth="1" min="6" max="6" width="9.89"/>
    <col customWidth="1" min="7" max="9" width="10.44"/>
    <col customWidth="1" min="10" max="10" width="11.44"/>
    <col customWidth="1" min="11" max="11" width="10.44"/>
    <col customWidth="1" min="12" max="12" width="37.0"/>
    <col customWidth="1" min="13" max="13" width="3.78"/>
    <col customWidth="1" min="14" max="14" width="9.44"/>
    <col customWidth="1" min="15" max="15" width="4.78"/>
    <col customWidth="1" min="16" max="16" width="9.89"/>
    <col customWidth="1" min="17" max="17" width="8.89"/>
    <col customWidth="1" min="18" max="18" width="7.89"/>
    <col customWidth="1" min="19" max="19" width="8.0"/>
    <col customWidth="1" min="20" max="20" width="8.22"/>
    <col customWidth="1" min="21" max="26" width="2.56"/>
  </cols>
  <sheetData>
    <row r="1" ht="10.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B2" s="92" t="s">
        <v>13</v>
      </c>
      <c r="C2" s="1"/>
      <c r="D2" s="1"/>
      <c r="E2" s="1"/>
      <c r="F2" s="1"/>
      <c r="G2" s="1"/>
      <c r="H2" s="1"/>
      <c r="I2" s="1"/>
      <c r="J2" s="1"/>
      <c r="K2" s="1"/>
    </row>
    <row r="3" ht="15.75" customHeight="1">
      <c r="B3" s="13" t="s">
        <v>1</v>
      </c>
      <c r="C3" s="13" t="s">
        <v>16</v>
      </c>
      <c r="D3" s="1"/>
      <c r="E3" s="1"/>
      <c r="F3" s="1"/>
      <c r="G3" s="1"/>
      <c r="H3" s="1"/>
      <c r="I3" s="1"/>
      <c r="J3" s="13"/>
      <c r="K3" s="1"/>
    </row>
    <row r="4" ht="15.75" customHeight="1">
      <c r="A4" s="7"/>
      <c r="B4" s="83" t="s">
        <v>5</v>
      </c>
      <c r="C4" s="42">
        <v>79.0</v>
      </c>
      <c r="D4" s="1"/>
      <c r="E4" s="1"/>
      <c r="F4" s="1"/>
      <c r="G4" s="1"/>
      <c r="H4" s="1"/>
      <c r="I4" s="1"/>
      <c r="J4" s="42"/>
      <c r="K4" s="1"/>
    </row>
    <row r="5" ht="15.75" customHeight="1">
      <c r="A5" s="7"/>
      <c r="B5" s="89" t="s">
        <v>42</v>
      </c>
      <c r="C5" s="42">
        <v>76.0</v>
      </c>
      <c r="D5" s="1"/>
      <c r="E5" s="1"/>
      <c r="F5" s="1"/>
      <c r="G5" s="1"/>
      <c r="H5" s="1"/>
      <c r="I5" s="1"/>
      <c r="J5" s="42"/>
      <c r="K5" s="1"/>
    </row>
    <row r="6" ht="15.75" customHeight="1">
      <c r="A6" s="7"/>
      <c r="B6" s="85" t="s">
        <v>4</v>
      </c>
      <c r="C6" s="42">
        <v>75.0</v>
      </c>
      <c r="D6" s="1"/>
      <c r="E6" s="1"/>
      <c r="F6" s="1"/>
      <c r="G6" s="1"/>
      <c r="H6" s="1"/>
      <c r="I6" s="1"/>
      <c r="J6" s="42"/>
      <c r="K6" s="1"/>
    </row>
    <row r="7" ht="15.75" customHeight="1">
      <c r="A7" s="7"/>
      <c r="B7" s="85" t="s">
        <v>3</v>
      </c>
      <c r="C7" s="42">
        <v>73.0</v>
      </c>
      <c r="D7" s="1"/>
      <c r="E7" s="1"/>
      <c r="F7" s="1"/>
      <c r="G7" s="1"/>
      <c r="H7" s="1"/>
      <c r="I7" s="1"/>
      <c r="J7" s="42"/>
      <c r="K7" s="1"/>
    </row>
    <row r="8" ht="15.75" customHeight="1">
      <c r="A8" s="7"/>
      <c r="B8" s="89" t="s">
        <v>8</v>
      </c>
      <c r="C8" s="42">
        <v>69.0</v>
      </c>
      <c r="D8" s="1"/>
      <c r="E8" s="1"/>
      <c r="F8" s="1"/>
      <c r="G8" s="1"/>
      <c r="H8" s="1"/>
      <c r="I8" s="1"/>
      <c r="J8" s="42"/>
      <c r="K8" s="1"/>
    </row>
    <row r="9" ht="15.75" customHeight="1">
      <c r="A9" s="7"/>
      <c r="B9" s="85" t="s">
        <v>41</v>
      </c>
      <c r="C9" s="42">
        <v>67.0</v>
      </c>
      <c r="D9" s="1"/>
      <c r="E9" s="1"/>
      <c r="F9" s="1"/>
      <c r="G9" s="1"/>
      <c r="H9" s="1"/>
      <c r="I9" s="1"/>
      <c r="J9" s="42"/>
      <c r="K9" s="1"/>
      <c r="L9" s="13" t="s">
        <v>39</v>
      </c>
      <c r="M9" s="13" t="s">
        <v>40</v>
      </c>
      <c r="N9" s="13" t="s">
        <v>17</v>
      </c>
      <c r="O9" s="13" t="s">
        <v>18</v>
      </c>
      <c r="P9" s="37" t="s">
        <v>19</v>
      </c>
      <c r="Q9" s="37" t="s">
        <v>20</v>
      </c>
      <c r="R9" s="37" t="s">
        <v>21</v>
      </c>
      <c r="S9" s="54" t="s">
        <v>22</v>
      </c>
      <c r="T9" s="1"/>
    </row>
    <row r="10" ht="15.75" customHeight="1">
      <c r="A10" s="7"/>
      <c r="B10" s="89" t="s">
        <v>43</v>
      </c>
      <c r="C10" s="42">
        <v>66.0</v>
      </c>
      <c r="D10" s="1"/>
      <c r="E10" s="1"/>
      <c r="F10" s="1"/>
      <c r="G10" s="1"/>
      <c r="H10" s="1"/>
      <c r="I10" s="1"/>
      <c r="J10" s="42"/>
      <c r="K10" s="1"/>
      <c r="L10" s="13">
        <v>10.0</v>
      </c>
      <c r="M10" s="83" t="s">
        <v>5</v>
      </c>
      <c r="N10" s="89" t="s">
        <v>42</v>
      </c>
      <c r="O10" s="85" t="s">
        <v>7</v>
      </c>
      <c r="P10" s="79" t="s">
        <v>5</v>
      </c>
      <c r="Q10" s="83" t="s">
        <v>41</v>
      </c>
      <c r="R10" s="89" t="s">
        <v>41</v>
      </c>
      <c r="S10" s="85" t="s">
        <v>8</v>
      </c>
      <c r="T10" s="51"/>
    </row>
    <row r="11" ht="15.75" customHeight="1">
      <c r="A11" s="33"/>
      <c r="B11" s="85" t="s">
        <v>7</v>
      </c>
      <c r="C11" s="42">
        <v>63.0</v>
      </c>
      <c r="D11" s="1"/>
      <c r="E11" s="1"/>
      <c r="F11" s="1"/>
      <c r="G11" s="1"/>
      <c r="H11" s="1"/>
      <c r="I11" s="1"/>
      <c r="J11" s="42"/>
      <c r="K11" s="1"/>
      <c r="L11" s="13">
        <v>9.0</v>
      </c>
      <c r="M11" s="89" t="s">
        <v>42</v>
      </c>
      <c r="N11" s="89" t="s">
        <v>6</v>
      </c>
      <c r="O11" s="85" t="s">
        <v>44</v>
      </c>
      <c r="P11" s="79" t="s">
        <v>41</v>
      </c>
      <c r="Q11" s="83" t="s">
        <v>6</v>
      </c>
      <c r="R11" s="85" t="s">
        <v>8</v>
      </c>
      <c r="S11" s="85" t="s">
        <v>44</v>
      </c>
      <c r="T11" s="51"/>
    </row>
    <row r="12" ht="15.75" customHeight="1">
      <c r="A12" s="7"/>
      <c r="B12" s="85" t="s">
        <v>44</v>
      </c>
      <c r="C12" s="42">
        <v>63.0</v>
      </c>
      <c r="D12" s="1"/>
      <c r="E12" s="1"/>
      <c r="F12" s="1"/>
      <c r="G12" s="1"/>
      <c r="H12" s="1"/>
      <c r="I12" s="1"/>
      <c r="J12" s="42"/>
      <c r="K12" s="1"/>
      <c r="L12" s="13">
        <v>8.0</v>
      </c>
      <c r="M12" s="85" t="s">
        <v>4</v>
      </c>
      <c r="N12" s="89" t="s">
        <v>43</v>
      </c>
      <c r="O12" s="89" t="s">
        <v>6</v>
      </c>
      <c r="P12" s="79" t="s">
        <v>3</v>
      </c>
      <c r="Q12" s="83" t="s">
        <v>3</v>
      </c>
      <c r="R12" s="85" t="s">
        <v>3</v>
      </c>
      <c r="S12" s="85" t="s">
        <v>6</v>
      </c>
      <c r="T12" s="51"/>
    </row>
    <row r="13" ht="15.75" customHeight="1">
      <c r="A13" s="7"/>
      <c r="B13" s="89" t="s">
        <v>6</v>
      </c>
      <c r="C13" s="42">
        <v>0.0</v>
      </c>
      <c r="D13" s="1"/>
      <c r="E13" s="1"/>
      <c r="F13" s="1"/>
      <c r="G13" s="1"/>
      <c r="H13" s="1"/>
      <c r="I13" s="1"/>
      <c r="J13" s="42"/>
      <c r="K13" s="1"/>
      <c r="L13" s="13">
        <v>7.0</v>
      </c>
      <c r="M13" s="85" t="s">
        <v>3</v>
      </c>
      <c r="N13" s="83" t="s">
        <v>5</v>
      </c>
      <c r="O13" s="85" t="s">
        <v>4</v>
      </c>
      <c r="P13" s="79" t="s">
        <v>42</v>
      </c>
      <c r="Q13" s="83" t="s">
        <v>7</v>
      </c>
      <c r="R13" s="85" t="s">
        <v>7</v>
      </c>
      <c r="S13" s="85" t="s">
        <v>41</v>
      </c>
      <c r="T13" s="51"/>
    </row>
    <row r="14" ht="15.7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3">
        <v>6.0</v>
      </c>
      <c r="M14" s="89" t="s">
        <v>8</v>
      </c>
      <c r="N14" s="89" t="s">
        <v>8</v>
      </c>
      <c r="O14" s="85" t="s">
        <v>3</v>
      </c>
      <c r="P14" s="79" t="s">
        <v>6</v>
      </c>
      <c r="Q14" s="83" t="s">
        <v>43</v>
      </c>
      <c r="R14" s="85" t="s">
        <v>43</v>
      </c>
      <c r="S14" s="85" t="s">
        <v>7</v>
      </c>
      <c r="T14" s="51"/>
    </row>
    <row r="15" ht="15.75" customHeight="1">
      <c r="B15" s="93" t="s">
        <v>24</v>
      </c>
      <c r="C15" s="1"/>
      <c r="D15" s="39"/>
      <c r="E15" s="40"/>
      <c r="F15" s="1"/>
      <c r="G15" s="1"/>
      <c r="H15" s="1"/>
      <c r="I15" s="1"/>
      <c r="J15" s="1"/>
      <c r="K15" s="1"/>
      <c r="L15" s="13">
        <v>5.0</v>
      </c>
      <c r="M15" s="85" t="s">
        <v>41</v>
      </c>
      <c r="N15" s="85" t="s">
        <v>4</v>
      </c>
      <c r="O15" s="85" t="s">
        <v>8</v>
      </c>
      <c r="P15" s="79" t="s">
        <v>4</v>
      </c>
      <c r="Q15" s="83" t="s">
        <v>5</v>
      </c>
      <c r="R15" s="85" t="s">
        <v>4</v>
      </c>
      <c r="S15" s="85" t="s">
        <v>3</v>
      </c>
      <c r="T15" s="51"/>
    </row>
    <row r="16" ht="15.75" customHeight="1">
      <c r="B16" s="94" t="s">
        <v>1</v>
      </c>
      <c r="C16" s="32" t="s">
        <v>25</v>
      </c>
      <c r="D16" s="39"/>
      <c r="E16" s="40"/>
      <c r="F16" s="1"/>
      <c r="G16" s="1"/>
      <c r="H16" s="1"/>
      <c r="I16" s="1"/>
      <c r="J16" s="1"/>
      <c r="K16" s="1"/>
      <c r="L16" s="13">
        <v>4.0</v>
      </c>
      <c r="M16" s="89" t="s">
        <v>43</v>
      </c>
      <c r="N16" s="85" t="s">
        <v>41</v>
      </c>
      <c r="O16" s="89" t="s">
        <v>5</v>
      </c>
      <c r="P16" s="81" t="s">
        <v>8</v>
      </c>
      <c r="Q16" s="85" t="s">
        <v>8</v>
      </c>
      <c r="R16" s="89" t="s">
        <v>5</v>
      </c>
      <c r="S16" s="85" t="s">
        <v>43</v>
      </c>
      <c r="T16" s="51"/>
    </row>
    <row r="17" ht="15.75" customHeight="1">
      <c r="B17" s="89" t="s">
        <v>42</v>
      </c>
      <c r="C17" s="1">
        <v>99.5</v>
      </c>
      <c r="D17" s="39"/>
      <c r="E17" s="40"/>
      <c r="F17" s="1"/>
      <c r="G17" s="1"/>
      <c r="H17" s="1"/>
      <c r="I17" s="1"/>
      <c r="J17" s="1"/>
      <c r="K17" s="1"/>
      <c r="L17" s="13">
        <v>3.0</v>
      </c>
      <c r="M17" s="85" t="s">
        <v>7</v>
      </c>
      <c r="N17" s="85" t="s">
        <v>3</v>
      </c>
      <c r="O17" s="85" t="s">
        <v>41</v>
      </c>
      <c r="P17" s="79" t="s">
        <v>7</v>
      </c>
      <c r="Q17" s="83" t="s">
        <v>42</v>
      </c>
      <c r="R17" s="85" t="s">
        <v>44</v>
      </c>
      <c r="S17" s="85" t="s">
        <v>5</v>
      </c>
      <c r="T17" s="51"/>
    </row>
    <row r="18" ht="15.75" customHeight="1">
      <c r="B18" s="89" t="s">
        <v>6</v>
      </c>
      <c r="C18" s="1">
        <v>97.5</v>
      </c>
      <c r="D18" s="39"/>
      <c r="E18" s="40"/>
      <c r="F18" s="1"/>
      <c r="G18" s="1"/>
      <c r="H18" s="1"/>
      <c r="I18" s="1"/>
      <c r="J18" s="1"/>
      <c r="K18" s="1"/>
      <c r="L18" s="13">
        <v>2.0</v>
      </c>
      <c r="M18" s="85" t="s">
        <v>44</v>
      </c>
      <c r="N18" s="85" t="s">
        <v>7</v>
      </c>
      <c r="O18" s="85" t="s">
        <v>43</v>
      </c>
      <c r="P18" s="81" t="s">
        <v>43</v>
      </c>
      <c r="Q18" s="83" t="s">
        <v>4</v>
      </c>
      <c r="R18" s="89" t="s">
        <v>42</v>
      </c>
      <c r="S18" s="85" t="s">
        <v>4</v>
      </c>
      <c r="T18" s="51"/>
    </row>
    <row r="19" ht="15.75" customHeight="1">
      <c r="B19" s="89" t="s">
        <v>43</v>
      </c>
      <c r="C19" s="1">
        <v>94.0</v>
      </c>
      <c r="D19" s="39"/>
      <c r="E19" s="40"/>
      <c r="F19" s="1"/>
      <c r="G19" s="1"/>
      <c r="H19" s="1"/>
      <c r="I19" s="1"/>
      <c r="J19" s="1"/>
      <c r="K19" s="1"/>
      <c r="L19" s="13">
        <v>1.0</v>
      </c>
      <c r="M19" s="89" t="s">
        <v>6</v>
      </c>
      <c r="N19" s="85" t="s">
        <v>44</v>
      </c>
      <c r="O19" s="102" t="s">
        <v>42</v>
      </c>
      <c r="P19" s="81" t="s">
        <v>44</v>
      </c>
      <c r="Q19" s="83" t="s">
        <v>44</v>
      </c>
      <c r="R19" s="85" t="s">
        <v>6</v>
      </c>
      <c r="S19" s="85" t="s">
        <v>42</v>
      </c>
      <c r="T19" s="51"/>
    </row>
    <row r="20" ht="15.75" customHeight="1">
      <c r="B20" s="83" t="s">
        <v>5</v>
      </c>
      <c r="C20" s="1">
        <v>89.5</v>
      </c>
      <c r="D20" s="39"/>
      <c r="E20" s="40"/>
      <c r="F20" s="1"/>
      <c r="G20" s="1"/>
      <c r="H20" s="1"/>
      <c r="I20" s="1"/>
      <c r="J20" s="1"/>
      <c r="K20" s="1"/>
      <c r="L20" s="1"/>
      <c r="M20" s="1"/>
      <c r="N20" s="1"/>
      <c r="O20" s="99"/>
      <c r="P20" s="1"/>
      <c r="Q20" s="1"/>
      <c r="R20" s="60"/>
      <c r="S20" s="51"/>
      <c r="T20" s="1"/>
    </row>
    <row r="21" ht="15.75" customHeight="1">
      <c r="B21" s="89" t="s">
        <v>8</v>
      </c>
      <c r="C21" s="1">
        <v>80.0</v>
      </c>
      <c r="D21" s="39"/>
      <c r="E21" s="40"/>
      <c r="F21" s="1"/>
      <c r="G21" s="1"/>
      <c r="H21" s="1"/>
      <c r="I21" s="1"/>
      <c r="J21" s="1"/>
      <c r="K21" s="1"/>
      <c r="L21" s="34" t="s">
        <v>15</v>
      </c>
      <c r="M21" s="35"/>
      <c r="N21" s="35"/>
      <c r="O21" s="35"/>
      <c r="P21" s="35"/>
      <c r="Q21" s="35"/>
      <c r="R21" s="35"/>
      <c r="S21" s="35"/>
      <c r="T21" s="36"/>
    </row>
    <row r="22" ht="15.75" customHeight="1">
      <c r="B22" s="85" t="s">
        <v>4</v>
      </c>
      <c r="C22" s="1">
        <v>78.0</v>
      </c>
      <c r="D22" s="39"/>
      <c r="E22" s="40"/>
      <c r="F22" s="1"/>
      <c r="G22" s="1"/>
      <c r="H22" s="1"/>
      <c r="I22" s="1"/>
      <c r="J22" s="1"/>
      <c r="K22" s="1"/>
      <c r="L22" s="13" t="s">
        <v>1</v>
      </c>
      <c r="M22" s="37" t="s">
        <v>16</v>
      </c>
      <c r="N22" s="13" t="s">
        <v>17</v>
      </c>
      <c r="O22" s="13" t="s">
        <v>18</v>
      </c>
      <c r="P22" s="37" t="s">
        <v>19</v>
      </c>
      <c r="Q22" s="37" t="s">
        <v>20</v>
      </c>
      <c r="R22" s="37" t="s">
        <v>21</v>
      </c>
      <c r="S22" s="13" t="s">
        <v>22</v>
      </c>
      <c r="T22" s="13" t="s">
        <v>23</v>
      </c>
    </row>
    <row r="23" ht="15.75" customHeight="1">
      <c r="B23" s="85" t="s">
        <v>41</v>
      </c>
      <c r="C23" s="1">
        <v>70.5</v>
      </c>
      <c r="D23" s="39"/>
      <c r="E23" s="40"/>
      <c r="F23" s="1"/>
      <c r="G23" s="1"/>
      <c r="H23" s="1"/>
      <c r="I23" s="1"/>
      <c r="J23" s="1"/>
      <c r="K23" s="1"/>
      <c r="L23" s="41" t="s">
        <v>41</v>
      </c>
      <c r="M23" s="42">
        <v>5.0</v>
      </c>
      <c r="N23" s="42">
        <v>4.0</v>
      </c>
      <c r="O23" s="42">
        <v>3.0</v>
      </c>
      <c r="P23" s="43">
        <v>9.0</v>
      </c>
      <c r="Q23" s="43">
        <v>10.0</v>
      </c>
      <c r="R23" s="43">
        <v>10.0</v>
      </c>
      <c r="S23" s="44">
        <v>7.0</v>
      </c>
      <c r="T23" s="45">
        <f t="shared" ref="T23:T32" si="1">SUM(M23:S23)</f>
        <v>48</v>
      </c>
    </row>
    <row r="24" ht="15.75" customHeight="1">
      <c r="B24" s="85" t="s">
        <v>3</v>
      </c>
      <c r="C24" s="1">
        <v>68.0</v>
      </c>
      <c r="D24" s="39"/>
      <c r="E24" s="40"/>
      <c r="F24" s="1"/>
      <c r="G24" s="1"/>
      <c r="H24" s="1"/>
      <c r="I24" s="1"/>
      <c r="J24" s="1"/>
      <c r="K24" s="1"/>
      <c r="L24" s="41" t="s">
        <v>3</v>
      </c>
      <c r="M24" s="42">
        <v>7.0</v>
      </c>
      <c r="N24" s="42">
        <v>3.0</v>
      </c>
      <c r="O24" s="42">
        <v>6.0</v>
      </c>
      <c r="P24" s="43">
        <v>8.0</v>
      </c>
      <c r="Q24" s="43">
        <v>8.0</v>
      </c>
      <c r="R24" s="43">
        <v>8.0</v>
      </c>
      <c r="S24" s="44">
        <v>5.0</v>
      </c>
      <c r="T24" s="45">
        <f t="shared" si="1"/>
        <v>45</v>
      </c>
    </row>
    <row r="25" ht="15.75" customHeight="1">
      <c r="B25" s="85" t="s">
        <v>7</v>
      </c>
      <c r="C25" s="1">
        <v>52.5</v>
      </c>
      <c r="D25" s="39"/>
      <c r="E25" s="40"/>
      <c r="F25" s="1"/>
      <c r="G25" s="1"/>
      <c r="H25" s="1"/>
      <c r="I25" s="1"/>
      <c r="J25" s="1"/>
      <c r="K25" s="1"/>
      <c r="L25" s="41" t="s">
        <v>5</v>
      </c>
      <c r="M25" s="42">
        <v>10.0</v>
      </c>
      <c r="N25" s="42">
        <v>7.0</v>
      </c>
      <c r="O25" s="42">
        <v>4.0</v>
      </c>
      <c r="P25" s="43">
        <v>10.0</v>
      </c>
      <c r="Q25" s="43">
        <v>5.0</v>
      </c>
      <c r="R25" s="43">
        <v>4.0</v>
      </c>
      <c r="S25" s="44">
        <v>5.0</v>
      </c>
      <c r="T25" s="45">
        <f t="shared" si="1"/>
        <v>45</v>
      </c>
    </row>
    <row r="26" ht="15.75" customHeight="1">
      <c r="B26" s="85" t="s">
        <v>44</v>
      </c>
      <c r="C26" s="1">
        <v>33.0</v>
      </c>
      <c r="D26" s="39"/>
      <c r="E26" s="40"/>
      <c r="F26" s="1"/>
      <c r="G26" s="1"/>
      <c r="H26" s="1"/>
      <c r="I26" s="1"/>
      <c r="J26" s="1"/>
      <c r="K26" s="1"/>
      <c r="L26" s="41" t="s">
        <v>8</v>
      </c>
      <c r="M26" s="42">
        <v>6.0</v>
      </c>
      <c r="N26" s="42">
        <v>6.0</v>
      </c>
      <c r="O26" s="42">
        <v>5.0</v>
      </c>
      <c r="P26" s="43">
        <v>4.0</v>
      </c>
      <c r="Q26" s="43">
        <v>4.0</v>
      </c>
      <c r="R26" s="43">
        <v>9.0</v>
      </c>
      <c r="S26" s="44">
        <v>10.0</v>
      </c>
      <c r="T26" s="45">
        <f t="shared" si="1"/>
        <v>44</v>
      </c>
    </row>
    <row r="27" ht="15.75" customHeight="1">
      <c r="B27" s="51"/>
      <c r="C27" s="39"/>
      <c r="D27" s="39"/>
      <c r="E27" s="40"/>
      <c r="F27" s="1"/>
      <c r="G27" s="1"/>
      <c r="H27" s="1"/>
      <c r="I27" s="1"/>
      <c r="J27" s="1"/>
      <c r="K27" s="1"/>
      <c r="L27" s="41" t="s">
        <v>6</v>
      </c>
      <c r="M27" s="42">
        <v>1.0</v>
      </c>
      <c r="N27" s="42">
        <v>9.0</v>
      </c>
      <c r="O27" s="42">
        <v>8.0</v>
      </c>
      <c r="P27" s="43">
        <v>6.0</v>
      </c>
      <c r="Q27" s="43">
        <v>9.0</v>
      </c>
      <c r="R27" s="43">
        <v>1.0</v>
      </c>
      <c r="S27" s="44">
        <v>8.0</v>
      </c>
      <c r="T27" s="45">
        <f t="shared" si="1"/>
        <v>42</v>
      </c>
    </row>
    <row r="28" ht="15.75" customHeight="1">
      <c r="B28" s="34" t="s">
        <v>27</v>
      </c>
      <c r="C28" s="36"/>
      <c r="D28" s="1"/>
      <c r="E28" s="1"/>
      <c r="F28" s="1"/>
      <c r="G28" s="1"/>
      <c r="H28" s="1"/>
      <c r="I28" s="1"/>
      <c r="J28" s="1"/>
      <c r="K28" s="1"/>
      <c r="L28" s="41" t="s">
        <v>7</v>
      </c>
      <c r="M28" s="42">
        <v>3.0</v>
      </c>
      <c r="N28" s="42">
        <v>2.0</v>
      </c>
      <c r="O28" s="42">
        <v>10.0</v>
      </c>
      <c r="P28" s="43">
        <v>3.0</v>
      </c>
      <c r="Q28" s="43">
        <v>7.0</v>
      </c>
      <c r="R28" s="43">
        <v>7.0</v>
      </c>
      <c r="S28" s="44">
        <v>6.0</v>
      </c>
      <c r="T28" s="45">
        <f t="shared" si="1"/>
        <v>38</v>
      </c>
    </row>
    <row r="29" ht="15.75" customHeight="1">
      <c r="A29" s="14">
        <v>5.0</v>
      </c>
      <c r="B29" s="13" t="s">
        <v>1</v>
      </c>
      <c r="C29" s="13" t="s">
        <v>25</v>
      </c>
      <c r="D29" s="1"/>
      <c r="E29" s="1"/>
      <c r="F29" s="1"/>
      <c r="G29" s="1"/>
      <c r="H29" s="1"/>
      <c r="I29" s="1"/>
      <c r="J29" s="13"/>
      <c r="K29" s="1"/>
      <c r="L29" s="41" t="s">
        <v>4</v>
      </c>
      <c r="M29" s="42">
        <v>8.0</v>
      </c>
      <c r="N29" s="42">
        <v>5.0</v>
      </c>
      <c r="O29" s="42">
        <v>7.0</v>
      </c>
      <c r="P29" s="43">
        <v>5.0</v>
      </c>
      <c r="Q29" s="43">
        <v>2.0</v>
      </c>
      <c r="R29" s="43">
        <v>5.0</v>
      </c>
      <c r="S29" s="44">
        <v>2.0</v>
      </c>
      <c r="T29" s="45">
        <f t="shared" si="1"/>
        <v>34</v>
      </c>
    </row>
    <row r="30" ht="15.75" customHeight="1">
      <c r="A30" s="7"/>
      <c r="B30" s="85" t="s">
        <v>7</v>
      </c>
      <c r="C30" s="98">
        <v>146.96</v>
      </c>
      <c r="D30" s="1"/>
      <c r="E30" s="1"/>
      <c r="F30" s="1"/>
      <c r="G30" s="1"/>
      <c r="H30" s="1"/>
      <c r="I30" s="1"/>
      <c r="J30" s="98"/>
      <c r="K30" s="1"/>
      <c r="L30" s="41" t="s">
        <v>42</v>
      </c>
      <c r="M30" s="42">
        <v>9.0</v>
      </c>
      <c r="N30" s="42">
        <v>10.0</v>
      </c>
      <c r="O30" s="42">
        <v>1.0</v>
      </c>
      <c r="P30" s="43">
        <v>7.0</v>
      </c>
      <c r="Q30" s="43">
        <v>3.0</v>
      </c>
      <c r="R30" s="43">
        <v>2.0</v>
      </c>
      <c r="S30" s="44">
        <v>1.0</v>
      </c>
      <c r="T30" s="45">
        <f t="shared" si="1"/>
        <v>33</v>
      </c>
    </row>
    <row r="31" ht="15.75" customHeight="1">
      <c r="A31" s="7"/>
      <c r="B31" s="85" t="s">
        <v>44</v>
      </c>
      <c r="C31" s="98">
        <v>106.64</v>
      </c>
      <c r="D31" s="1"/>
      <c r="E31" s="1"/>
      <c r="F31" s="1"/>
      <c r="G31" s="1"/>
      <c r="H31" s="1"/>
      <c r="I31" s="1"/>
      <c r="J31" s="98"/>
      <c r="K31" s="1"/>
      <c r="L31" s="41" t="s">
        <v>43</v>
      </c>
      <c r="M31" s="42">
        <v>4.0</v>
      </c>
      <c r="N31" s="42">
        <v>8.0</v>
      </c>
      <c r="O31" s="42">
        <v>2.0</v>
      </c>
      <c r="P31" s="43">
        <v>2.0</v>
      </c>
      <c r="Q31" s="43">
        <v>6.0</v>
      </c>
      <c r="R31" s="43">
        <v>6.0</v>
      </c>
      <c r="S31" s="44">
        <v>4.0</v>
      </c>
      <c r="T31" s="45">
        <f t="shared" si="1"/>
        <v>32</v>
      </c>
    </row>
    <row r="32" ht="15.75" customHeight="1">
      <c r="A32" s="7"/>
      <c r="B32" s="89" t="s">
        <v>6</v>
      </c>
      <c r="C32" s="98">
        <v>82.72</v>
      </c>
      <c r="D32" s="1"/>
      <c r="E32" s="1"/>
      <c r="F32" s="1"/>
      <c r="G32" s="1"/>
      <c r="H32" s="1"/>
      <c r="I32" s="1"/>
      <c r="J32" s="98"/>
      <c r="K32" s="1"/>
      <c r="L32" s="41" t="s">
        <v>44</v>
      </c>
      <c r="M32" s="42">
        <v>2.0</v>
      </c>
      <c r="N32" s="42">
        <v>1.0</v>
      </c>
      <c r="O32" s="42">
        <v>9.0</v>
      </c>
      <c r="P32" s="43">
        <v>1.0</v>
      </c>
      <c r="Q32" s="43">
        <v>1.0</v>
      </c>
      <c r="R32" s="43">
        <v>3.0</v>
      </c>
      <c r="S32" s="44">
        <v>9.0</v>
      </c>
      <c r="T32" s="45">
        <f t="shared" si="1"/>
        <v>26</v>
      </c>
    </row>
    <row r="33" ht="15.75" customHeight="1">
      <c r="A33" s="7"/>
      <c r="B33" s="85" t="s">
        <v>4</v>
      </c>
      <c r="C33" s="98">
        <v>55.2</v>
      </c>
      <c r="D33" s="1"/>
      <c r="E33" s="1"/>
      <c r="F33" s="1"/>
      <c r="G33" s="1"/>
      <c r="H33" s="1"/>
      <c r="I33" s="1"/>
      <c r="J33" s="98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7"/>
      <c r="B34" s="85" t="s">
        <v>3</v>
      </c>
      <c r="C34" s="98">
        <v>52.44</v>
      </c>
      <c r="D34" s="1"/>
      <c r="E34" s="1"/>
      <c r="F34" s="1"/>
      <c r="G34" s="1"/>
      <c r="H34" s="1"/>
      <c r="I34" s="1"/>
      <c r="J34" s="98"/>
      <c r="K34" s="1"/>
      <c r="L34" s="50" t="s">
        <v>26</v>
      </c>
      <c r="M34" s="35"/>
      <c r="N34" s="35"/>
      <c r="O34" s="35"/>
      <c r="P34" s="35"/>
      <c r="Q34" s="35"/>
      <c r="R34" s="35"/>
      <c r="S34" s="35"/>
      <c r="T34" s="36"/>
    </row>
    <row r="35" ht="15.75" customHeight="1">
      <c r="A35" s="7"/>
      <c r="B35" s="85" t="s">
        <v>8</v>
      </c>
      <c r="C35" s="98">
        <v>50.76</v>
      </c>
      <c r="D35" s="1"/>
      <c r="E35" s="1"/>
      <c r="F35" s="1"/>
      <c r="G35" s="1"/>
      <c r="H35" s="1"/>
      <c r="I35" s="1"/>
      <c r="J35" s="98"/>
      <c r="K35" s="1"/>
      <c r="L35" s="13" t="s">
        <v>1</v>
      </c>
      <c r="M35" s="37" t="s">
        <v>16</v>
      </c>
      <c r="N35" s="13" t="s">
        <v>17</v>
      </c>
      <c r="O35" s="13" t="s">
        <v>18</v>
      </c>
      <c r="P35" s="37" t="s">
        <v>19</v>
      </c>
      <c r="Q35" s="37" t="s">
        <v>20</v>
      </c>
      <c r="R35" s="37" t="s">
        <v>21</v>
      </c>
      <c r="S35" s="13" t="s">
        <v>22</v>
      </c>
      <c r="T35" s="13" t="s">
        <v>23</v>
      </c>
    </row>
    <row r="36" ht="15.75" customHeight="1">
      <c r="A36" s="7"/>
      <c r="B36" s="89" t="s">
        <v>5</v>
      </c>
      <c r="C36" s="98">
        <v>42.24</v>
      </c>
      <c r="D36" s="1"/>
      <c r="E36" s="1"/>
      <c r="F36" s="1"/>
      <c r="G36" s="1"/>
      <c r="H36" s="1"/>
      <c r="I36" s="1"/>
      <c r="J36" s="98"/>
      <c r="K36" s="1"/>
      <c r="L36" s="41" t="s">
        <v>41</v>
      </c>
      <c r="M36" s="42">
        <f t="shared" ref="M36:N36" si="2">M23*5</f>
        <v>25</v>
      </c>
      <c r="N36" s="42">
        <f t="shared" si="2"/>
        <v>20</v>
      </c>
      <c r="O36" s="42">
        <f t="shared" ref="O36:P36" si="3">O23*3</f>
        <v>9</v>
      </c>
      <c r="P36" s="43">
        <f t="shared" si="3"/>
        <v>27</v>
      </c>
      <c r="Q36" s="43">
        <f t="shared" ref="Q36:Q45" si="6">Q23*1</f>
        <v>10</v>
      </c>
      <c r="R36" s="43">
        <f t="shared" ref="R36:R45" si="7">R23*4</f>
        <v>40</v>
      </c>
      <c r="S36" s="44">
        <f t="shared" ref="S36:S45" si="8">S23*2</f>
        <v>14</v>
      </c>
      <c r="T36" s="45">
        <f t="shared" ref="T36:T45" si="9">SUM(M36:S36)</f>
        <v>145</v>
      </c>
    </row>
    <row r="37" ht="15.75" customHeight="1">
      <c r="A37" s="7"/>
      <c r="B37" s="85" t="s">
        <v>41</v>
      </c>
      <c r="C37" s="98">
        <v>34.56</v>
      </c>
      <c r="D37" s="1"/>
      <c r="E37" s="1"/>
      <c r="F37" s="1"/>
      <c r="G37" s="1"/>
      <c r="H37" s="1"/>
      <c r="I37" s="1"/>
      <c r="J37" s="98"/>
      <c r="K37" s="1"/>
      <c r="L37" s="41" t="s">
        <v>3</v>
      </c>
      <c r="M37" s="42">
        <f t="shared" ref="M37:N37" si="4">M24*5</f>
        <v>35</v>
      </c>
      <c r="N37" s="42">
        <f t="shared" si="4"/>
        <v>15</v>
      </c>
      <c r="O37" s="42">
        <f t="shared" ref="O37:P37" si="5">O24*3</f>
        <v>18</v>
      </c>
      <c r="P37" s="43">
        <f t="shared" si="5"/>
        <v>24</v>
      </c>
      <c r="Q37" s="43">
        <f t="shared" si="6"/>
        <v>8</v>
      </c>
      <c r="R37" s="43">
        <f t="shared" si="7"/>
        <v>32</v>
      </c>
      <c r="S37" s="44">
        <f t="shared" si="8"/>
        <v>10</v>
      </c>
      <c r="T37" s="45">
        <f t="shared" si="9"/>
        <v>142</v>
      </c>
    </row>
    <row r="38" ht="15.75" customHeight="1">
      <c r="A38" s="7"/>
      <c r="B38" s="85" t="s">
        <v>43</v>
      </c>
      <c r="C38" s="98">
        <v>12.96</v>
      </c>
      <c r="D38" s="1"/>
      <c r="E38" s="1"/>
      <c r="F38" s="1"/>
      <c r="G38" s="1"/>
      <c r="H38" s="1"/>
      <c r="I38" s="1"/>
      <c r="J38" s="98"/>
      <c r="K38" s="1"/>
      <c r="L38" s="41" t="s">
        <v>5</v>
      </c>
      <c r="M38" s="42">
        <f t="shared" ref="M38:N38" si="10">M25*5</f>
        <v>50</v>
      </c>
      <c r="N38" s="42">
        <f t="shared" si="10"/>
        <v>35</v>
      </c>
      <c r="O38" s="42">
        <f t="shared" ref="O38:P38" si="11">O25*3</f>
        <v>12</v>
      </c>
      <c r="P38" s="43">
        <f t="shared" si="11"/>
        <v>30</v>
      </c>
      <c r="Q38" s="43">
        <f t="shared" si="6"/>
        <v>5</v>
      </c>
      <c r="R38" s="43">
        <f t="shared" si="7"/>
        <v>16</v>
      </c>
      <c r="S38" s="44">
        <f t="shared" si="8"/>
        <v>10</v>
      </c>
      <c r="T38" s="45">
        <f t="shared" si="9"/>
        <v>158</v>
      </c>
    </row>
    <row r="39" ht="15.75" customHeight="1">
      <c r="A39" s="7"/>
      <c r="B39" s="102" t="s">
        <v>42</v>
      </c>
      <c r="C39" s="98">
        <v>0.0</v>
      </c>
      <c r="D39" s="1"/>
      <c r="E39" s="1"/>
      <c r="F39" s="1"/>
      <c r="G39" s="1"/>
      <c r="H39" s="1"/>
      <c r="I39" s="1"/>
      <c r="J39" s="45"/>
      <c r="K39" s="1"/>
      <c r="L39" s="41" t="s">
        <v>8</v>
      </c>
      <c r="M39" s="42">
        <f t="shared" ref="M39:N39" si="12">M26*5</f>
        <v>30</v>
      </c>
      <c r="N39" s="42">
        <f t="shared" si="12"/>
        <v>30</v>
      </c>
      <c r="O39" s="42">
        <f t="shared" ref="O39:P39" si="13">O26*3</f>
        <v>15</v>
      </c>
      <c r="P39" s="43">
        <f t="shared" si="13"/>
        <v>12</v>
      </c>
      <c r="Q39" s="43">
        <f t="shared" si="6"/>
        <v>4</v>
      </c>
      <c r="R39" s="43">
        <f t="shared" si="7"/>
        <v>36</v>
      </c>
      <c r="S39" s="44">
        <f t="shared" si="8"/>
        <v>20</v>
      </c>
      <c r="T39" s="45">
        <f t="shared" si="9"/>
        <v>147</v>
      </c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41" t="s">
        <v>6</v>
      </c>
      <c r="M40" s="42">
        <f t="shared" ref="M40:N40" si="14">M27*5</f>
        <v>5</v>
      </c>
      <c r="N40" s="42">
        <f t="shared" si="14"/>
        <v>45</v>
      </c>
      <c r="O40" s="42">
        <f t="shared" ref="O40:P40" si="15">O27*3</f>
        <v>24</v>
      </c>
      <c r="P40" s="43">
        <f t="shared" si="15"/>
        <v>18</v>
      </c>
      <c r="Q40" s="43">
        <f t="shared" si="6"/>
        <v>9</v>
      </c>
      <c r="R40" s="43">
        <f t="shared" si="7"/>
        <v>4</v>
      </c>
      <c r="S40" s="44">
        <f t="shared" si="8"/>
        <v>16</v>
      </c>
      <c r="T40" s="45">
        <f t="shared" si="9"/>
        <v>121</v>
      </c>
      <c r="U40" s="7"/>
      <c r="V40" s="7"/>
      <c r="W40" s="7"/>
      <c r="X40" s="7"/>
      <c r="Y40" s="7"/>
      <c r="Z40" s="7"/>
    </row>
    <row r="41" ht="15.75" customHeight="1">
      <c r="B41" s="13"/>
      <c r="C41" s="37"/>
      <c r="D41" s="37"/>
      <c r="E41" s="37"/>
      <c r="F41" s="54"/>
      <c r="G41" s="1"/>
      <c r="H41" s="1"/>
      <c r="I41" s="1"/>
      <c r="J41" s="1"/>
      <c r="K41" s="1"/>
      <c r="L41" s="41" t="s">
        <v>7</v>
      </c>
      <c r="M41" s="42">
        <f t="shared" ref="M41:N41" si="16">M28*5</f>
        <v>15</v>
      </c>
      <c r="N41" s="42">
        <f t="shared" si="16"/>
        <v>10</v>
      </c>
      <c r="O41" s="42">
        <f t="shared" ref="O41:P41" si="17">O28*3</f>
        <v>30</v>
      </c>
      <c r="P41" s="43">
        <f t="shared" si="17"/>
        <v>9</v>
      </c>
      <c r="Q41" s="43">
        <f t="shared" si="6"/>
        <v>7</v>
      </c>
      <c r="R41" s="43">
        <f t="shared" si="7"/>
        <v>28</v>
      </c>
      <c r="S41" s="44">
        <f t="shared" si="8"/>
        <v>12</v>
      </c>
      <c r="T41" s="45">
        <f t="shared" si="9"/>
        <v>111</v>
      </c>
    </row>
    <row r="42" ht="15.75" customHeight="1">
      <c r="B42" s="13"/>
      <c r="C42" s="55"/>
      <c r="D42" s="56"/>
      <c r="E42" s="57"/>
      <c r="F42" s="41"/>
      <c r="G42" s="51"/>
      <c r="H42" s="1"/>
      <c r="I42" s="1"/>
      <c r="J42" s="1"/>
      <c r="K42" s="1"/>
      <c r="L42" s="41" t="s">
        <v>4</v>
      </c>
      <c r="M42" s="42">
        <f t="shared" ref="M42:N42" si="18">M29*5</f>
        <v>40</v>
      </c>
      <c r="N42" s="42">
        <f t="shared" si="18"/>
        <v>25</v>
      </c>
      <c r="O42" s="42">
        <f t="shared" ref="O42:P42" si="19">O29*3</f>
        <v>21</v>
      </c>
      <c r="P42" s="43">
        <f t="shared" si="19"/>
        <v>15</v>
      </c>
      <c r="Q42" s="43">
        <f t="shared" si="6"/>
        <v>2</v>
      </c>
      <c r="R42" s="43">
        <f t="shared" si="7"/>
        <v>20</v>
      </c>
      <c r="S42" s="44">
        <f t="shared" si="8"/>
        <v>4</v>
      </c>
      <c r="T42" s="45">
        <f t="shared" si="9"/>
        <v>127</v>
      </c>
    </row>
    <row r="43" ht="15.75" customHeight="1">
      <c r="B43" s="13"/>
      <c r="C43" s="55"/>
      <c r="D43" s="56"/>
      <c r="E43" s="41"/>
      <c r="F43" s="41"/>
      <c r="G43" s="51"/>
      <c r="H43" s="1"/>
      <c r="I43" s="1"/>
      <c r="J43" s="1"/>
      <c r="K43" s="1"/>
      <c r="L43" s="41" t="s">
        <v>42</v>
      </c>
      <c r="M43" s="42">
        <f t="shared" ref="M43:N43" si="20">M30*5</f>
        <v>45</v>
      </c>
      <c r="N43" s="42">
        <f t="shared" si="20"/>
        <v>50</v>
      </c>
      <c r="O43" s="42">
        <f t="shared" ref="O43:P43" si="21">O30*3</f>
        <v>3</v>
      </c>
      <c r="P43" s="43">
        <f t="shared" si="21"/>
        <v>21</v>
      </c>
      <c r="Q43" s="43">
        <f t="shared" si="6"/>
        <v>3</v>
      </c>
      <c r="R43" s="43">
        <f t="shared" si="7"/>
        <v>8</v>
      </c>
      <c r="S43" s="44">
        <f t="shared" si="8"/>
        <v>2</v>
      </c>
      <c r="T43" s="45">
        <f t="shared" si="9"/>
        <v>132</v>
      </c>
    </row>
    <row r="44" ht="15.75" customHeight="1">
      <c r="B44" s="13"/>
      <c r="C44" s="55"/>
      <c r="D44" s="56"/>
      <c r="E44" s="41"/>
      <c r="F44" s="41"/>
      <c r="G44" s="51"/>
      <c r="H44" s="1"/>
      <c r="I44" s="1"/>
      <c r="J44" s="1"/>
      <c r="K44" s="1"/>
      <c r="L44" s="41" t="s">
        <v>43</v>
      </c>
      <c r="M44" s="42">
        <f t="shared" ref="M44:N44" si="22">M31*5</f>
        <v>20</v>
      </c>
      <c r="N44" s="42">
        <f t="shared" si="22"/>
        <v>40</v>
      </c>
      <c r="O44" s="42">
        <f t="shared" ref="O44:P44" si="23">O31*3</f>
        <v>6</v>
      </c>
      <c r="P44" s="43">
        <f t="shared" si="23"/>
        <v>6</v>
      </c>
      <c r="Q44" s="43">
        <f t="shared" si="6"/>
        <v>6</v>
      </c>
      <c r="R44" s="43">
        <f t="shared" si="7"/>
        <v>24</v>
      </c>
      <c r="S44" s="44">
        <f t="shared" si="8"/>
        <v>8</v>
      </c>
      <c r="T44" s="45">
        <f t="shared" si="9"/>
        <v>110</v>
      </c>
    </row>
    <row r="45" ht="15.75" customHeight="1">
      <c r="B45" s="13"/>
      <c r="C45" s="55"/>
      <c r="D45" s="56"/>
      <c r="E45" s="41"/>
      <c r="F45" s="41"/>
      <c r="G45" s="51"/>
      <c r="H45" s="1"/>
      <c r="I45" s="1"/>
      <c r="J45" s="1"/>
      <c r="K45" s="1"/>
      <c r="L45" s="41" t="s">
        <v>44</v>
      </c>
      <c r="M45" s="42">
        <f t="shared" ref="M45:N45" si="24">M32*5</f>
        <v>10</v>
      </c>
      <c r="N45" s="42">
        <f t="shared" si="24"/>
        <v>5</v>
      </c>
      <c r="O45" s="42">
        <f t="shared" ref="O45:P45" si="25">O32*3</f>
        <v>27</v>
      </c>
      <c r="P45" s="43">
        <f t="shared" si="25"/>
        <v>3</v>
      </c>
      <c r="Q45" s="43">
        <f t="shared" si="6"/>
        <v>1</v>
      </c>
      <c r="R45" s="43">
        <f t="shared" si="7"/>
        <v>12</v>
      </c>
      <c r="S45" s="44">
        <f t="shared" si="8"/>
        <v>18</v>
      </c>
      <c r="T45" s="45">
        <f t="shared" si="9"/>
        <v>76</v>
      </c>
    </row>
    <row r="46" ht="15.75" customHeight="1">
      <c r="B46" s="13"/>
      <c r="C46" s="55"/>
      <c r="D46" s="56"/>
      <c r="E46" s="41"/>
      <c r="F46" s="41"/>
      <c r="G46" s="5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B47" s="13"/>
      <c r="C47" s="55"/>
      <c r="D47" s="56"/>
      <c r="E47" s="41"/>
      <c r="F47" s="41"/>
      <c r="G47" s="51"/>
      <c r="H47" s="1"/>
      <c r="I47" s="1"/>
      <c r="J47" s="1"/>
      <c r="K47" s="1"/>
      <c r="L47" s="13" t="s">
        <v>1</v>
      </c>
      <c r="M47" s="13" t="s">
        <v>23</v>
      </c>
      <c r="N47" s="1"/>
      <c r="O47" s="1"/>
      <c r="P47" s="1"/>
      <c r="Q47" s="1"/>
      <c r="R47" s="1"/>
      <c r="S47" s="1"/>
      <c r="T47" s="1"/>
    </row>
    <row r="48" ht="15.75" customHeight="1">
      <c r="B48" s="13"/>
      <c r="C48" s="58"/>
      <c r="D48" s="41"/>
      <c r="E48" s="57"/>
      <c r="F48" s="41"/>
      <c r="G48" s="51"/>
      <c r="H48" s="1"/>
      <c r="I48" s="1"/>
      <c r="J48" s="1"/>
      <c r="K48" s="1"/>
      <c r="L48" s="41" t="s">
        <v>5</v>
      </c>
      <c r="M48" s="53">
        <v>158.0</v>
      </c>
      <c r="N48" s="1"/>
      <c r="O48" s="1"/>
      <c r="P48" s="1"/>
      <c r="Q48" s="1"/>
      <c r="R48" s="1"/>
      <c r="S48" s="1"/>
      <c r="T48" s="1"/>
    </row>
    <row r="49" ht="15.75" customHeight="1">
      <c r="B49" s="13"/>
      <c r="C49" s="55"/>
      <c r="D49" s="56"/>
      <c r="E49" s="41"/>
      <c r="F49" s="41"/>
      <c r="G49" s="51"/>
      <c r="H49" s="1"/>
      <c r="I49" s="1"/>
      <c r="J49" s="1"/>
      <c r="K49" s="1"/>
      <c r="L49" s="41" t="s">
        <v>8</v>
      </c>
      <c r="M49" s="53">
        <v>147.0</v>
      </c>
      <c r="N49" s="1"/>
      <c r="O49" s="1"/>
      <c r="P49" s="1"/>
      <c r="Q49" s="1"/>
      <c r="R49" s="1"/>
      <c r="S49" s="1"/>
      <c r="T49" s="1"/>
    </row>
    <row r="50" ht="15.75" customHeight="1">
      <c r="B50" s="13"/>
      <c r="C50" s="58"/>
      <c r="D50" s="56"/>
      <c r="E50" s="57"/>
      <c r="F50" s="41"/>
      <c r="G50" s="51"/>
      <c r="H50" s="1"/>
      <c r="I50" s="1"/>
      <c r="J50" s="1"/>
      <c r="K50" s="1"/>
      <c r="L50" s="41" t="s">
        <v>41</v>
      </c>
      <c r="M50" s="53">
        <v>145.0</v>
      </c>
      <c r="N50" s="1"/>
      <c r="O50" s="1"/>
      <c r="P50" s="1"/>
      <c r="Q50" s="1"/>
      <c r="R50" s="1"/>
      <c r="S50" s="1"/>
      <c r="T50" s="1"/>
    </row>
    <row r="51" ht="15.75" customHeight="1">
      <c r="B51" s="13"/>
      <c r="C51" s="58"/>
      <c r="D51" s="56"/>
      <c r="E51" s="41"/>
      <c r="F51" s="41"/>
      <c r="G51" s="51"/>
      <c r="H51" s="1"/>
      <c r="I51" s="1"/>
      <c r="J51" s="1"/>
      <c r="K51" s="1"/>
      <c r="L51" s="41" t="s">
        <v>3</v>
      </c>
      <c r="M51" s="53">
        <v>142.0</v>
      </c>
      <c r="N51" s="1"/>
      <c r="O51" s="1"/>
      <c r="P51" s="1"/>
      <c r="Q51" s="1"/>
      <c r="R51" s="1"/>
      <c r="S51" s="1"/>
      <c r="T51" s="1"/>
    </row>
    <row r="52" ht="15.75" customHeight="1">
      <c r="B52" s="1"/>
      <c r="C52" s="1"/>
      <c r="D52" s="1"/>
      <c r="E52" s="60"/>
      <c r="F52" s="51"/>
      <c r="G52" s="1"/>
      <c r="H52" s="1"/>
      <c r="I52" s="1"/>
      <c r="J52" s="1"/>
      <c r="K52" s="1"/>
      <c r="L52" s="41" t="s">
        <v>42</v>
      </c>
      <c r="M52" s="53">
        <v>132.0</v>
      </c>
      <c r="N52" s="1"/>
      <c r="O52" s="1"/>
      <c r="P52" s="1"/>
      <c r="Q52" s="1"/>
      <c r="R52" s="1"/>
      <c r="S52" s="1"/>
      <c r="T52" s="1"/>
    </row>
    <row r="53" ht="15.75" customHeight="1">
      <c r="B53" s="34"/>
      <c r="C53" s="35"/>
      <c r="D53" s="35"/>
      <c r="E53" s="35"/>
      <c r="F53" s="35"/>
      <c r="G53" s="36"/>
      <c r="H53" s="1"/>
      <c r="I53" s="1"/>
      <c r="J53" s="1"/>
      <c r="K53" s="1"/>
      <c r="L53" s="41" t="s">
        <v>4</v>
      </c>
      <c r="M53" s="53">
        <v>127.0</v>
      </c>
      <c r="N53" s="1"/>
      <c r="O53" s="1"/>
      <c r="P53" s="1"/>
      <c r="Q53" s="1"/>
      <c r="R53" s="1"/>
      <c r="S53" s="1"/>
      <c r="T53" s="1"/>
    </row>
    <row r="54" ht="15.75" customHeight="1">
      <c r="B54" s="13"/>
      <c r="C54" s="37"/>
      <c r="D54" s="37"/>
      <c r="E54" s="37"/>
      <c r="F54" s="13"/>
      <c r="G54" s="13"/>
      <c r="H54" s="1"/>
      <c r="I54" s="1"/>
      <c r="J54" s="1"/>
      <c r="K54" s="1"/>
      <c r="L54" s="41" t="s">
        <v>6</v>
      </c>
      <c r="M54" s="53">
        <v>121.0</v>
      </c>
      <c r="N54" s="1"/>
      <c r="O54" s="1"/>
      <c r="P54" s="1"/>
      <c r="Q54" s="1"/>
      <c r="R54" s="1"/>
      <c r="S54" s="1"/>
      <c r="T54" s="1"/>
      <c r="U54" s="7"/>
      <c r="V54" s="7"/>
      <c r="W54" s="7"/>
      <c r="X54" s="7"/>
      <c r="Y54" s="7"/>
      <c r="Z54" s="7"/>
    </row>
    <row r="55" ht="15.75" customHeight="1">
      <c r="A55" s="69"/>
      <c r="B55" s="41"/>
      <c r="C55" s="43"/>
      <c r="D55" s="43"/>
      <c r="E55" s="43"/>
      <c r="F55" s="44"/>
      <c r="G55" s="45"/>
      <c r="H55" s="70"/>
      <c r="I55" s="1"/>
      <c r="J55" s="1"/>
      <c r="K55" s="1"/>
      <c r="L55" s="41" t="s">
        <v>7</v>
      </c>
      <c r="M55" s="53">
        <v>111.0</v>
      </c>
      <c r="N55" s="1"/>
      <c r="O55" s="1"/>
      <c r="P55" s="1"/>
      <c r="Q55" s="1"/>
      <c r="R55" s="1"/>
      <c r="S55" s="1"/>
      <c r="T55" s="1"/>
      <c r="U55" s="7"/>
      <c r="V55" s="7"/>
      <c r="W55" s="7"/>
      <c r="X55" s="7"/>
      <c r="Y55" s="7"/>
      <c r="Z55" s="7"/>
    </row>
    <row r="56" ht="15.75" customHeight="1">
      <c r="A56" s="69"/>
      <c r="B56" s="41"/>
      <c r="C56" s="43"/>
      <c r="D56" s="43"/>
      <c r="E56" s="43"/>
      <c r="F56" s="44"/>
      <c r="G56" s="45"/>
      <c r="H56" s="70"/>
      <c r="I56" s="1"/>
      <c r="J56" s="1"/>
      <c r="K56" s="1"/>
      <c r="L56" s="41" t="s">
        <v>43</v>
      </c>
      <c r="M56" s="53">
        <v>110.0</v>
      </c>
      <c r="N56" s="1"/>
      <c r="O56" s="1"/>
      <c r="P56" s="1"/>
      <c r="Q56" s="1"/>
      <c r="R56" s="1"/>
      <c r="S56" s="1"/>
      <c r="T56" s="1"/>
      <c r="U56" s="7"/>
      <c r="V56" s="7"/>
      <c r="W56" s="7"/>
      <c r="X56" s="7"/>
      <c r="Y56" s="7"/>
      <c r="Z56" s="7"/>
    </row>
    <row r="57" ht="15.75" customHeight="1">
      <c r="A57" s="71"/>
      <c r="B57" s="41"/>
      <c r="C57" s="43"/>
      <c r="D57" s="43"/>
      <c r="E57" s="43"/>
      <c r="F57" s="44"/>
      <c r="G57" s="45"/>
      <c r="H57" s="70"/>
      <c r="I57" s="1"/>
      <c r="J57" s="1"/>
      <c r="K57" s="1"/>
      <c r="L57" s="41" t="s">
        <v>44</v>
      </c>
      <c r="M57" s="53">
        <v>76.0</v>
      </c>
      <c r="N57" s="1"/>
      <c r="O57" s="1"/>
      <c r="P57" s="1"/>
      <c r="Q57" s="1"/>
      <c r="R57" s="1"/>
      <c r="S57" s="1"/>
      <c r="T57" s="1"/>
      <c r="U57" s="7"/>
      <c r="V57" s="7"/>
      <c r="W57" s="7"/>
      <c r="X57" s="7"/>
      <c r="Y57" s="7"/>
      <c r="Z57" s="7"/>
    </row>
    <row r="58" ht="15.75" customHeight="1">
      <c r="A58" s="71"/>
      <c r="B58" s="41"/>
      <c r="C58" s="43"/>
      <c r="D58" s="43"/>
      <c r="E58" s="43"/>
      <c r="F58" s="44"/>
      <c r="G58" s="45"/>
      <c r="H58" s="7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71"/>
      <c r="B59" s="41"/>
      <c r="C59" s="43"/>
      <c r="D59" s="43"/>
      <c r="E59" s="43"/>
      <c r="F59" s="44"/>
      <c r="G59" s="45"/>
      <c r="H59" s="70"/>
      <c r="I59" s="1"/>
      <c r="J59" s="1"/>
      <c r="K59" s="1"/>
      <c r="L59" s="59" t="s">
        <v>29</v>
      </c>
      <c r="M59" s="35"/>
      <c r="N59" s="35"/>
      <c r="O59" s="35"/>
      <c r="P59" s="35"/>
      <c r="Q59" s="35"/>
      <c r="R59" s="35"/>
      <c r="S59" s="36"/>
      <c r="T59" s="1"/>
    </row>
    <row r="60" ht="15.75" customHeight="1">
      <c r="A60" s="71"/>
      <c r="B60" s="41"/>
      <c r="C60" s="43"/>
      <c r="D60" s="43"/>
      <c r="E60" s="43"/>
      <c r="F60" s="44"/>
      <c r="G60" s="45"/>
      <c r="H60" s="70"/>
      <c r="I60" s="1"/>
      <c r="J60" s="1"/>
      <c r="K60" s="1"/>
      <c r="L60" s="61"/>
      <c r="M60" s="62" t="s">
        <v>30</v>
      </c>
      <c r="N60" s="62" t="s">
        <v>31</v>
      </c>
      <c r="O60" s="63" t="s">
        <v>32</v>
      </c>
      <c r="P60" s="64" t="s">
        <v>33</v>
      </c>
      <c r="Q60" s="63" t="s">
        <v>34</v>
      </c>
      <c r="R60" s="62" t="s">
        <v>35</v>
      </c>
      <c r="S60" s="62" t="s">
        <v>36</v>
      </c>
      <c r="T60" s="1"/>
    </row>
    <row r="61" ht="15.75" customHeight="1">
      <c r="A61" s="71"/>
      <c r="B61" s="41"/>
      <c r="C61" s="43"/>
      <c r="D61" s="43"/>
      <c r="E61" s="43"/>
      <c r="F61" s="44"/>
      <c r="G61" s="45"/>
      <c r="H61" s="70"/>
      <c r="I61" s="1"/>
      <c r="J61" s="1"/>
      <c r="K61" s="1"/>
      <c r="L61" s="61" t="s">
        <v>19</v>
      </c>
      <c r="M61" s="65">
        <v>3.0</v>
      </c>
      <c r="N61" s="65">
        <v>5.0</v>
      </c>
      <c r="O61" s="66">
        <f t="shared" ref="O61:O66" si="26">M61*N61</f>
        <v>15</v>
      </c>
      <c r="P61" s="67">
        <v>4.0</v>
      </c>
      <c r="Q61" s="66">
        <f t="shared" ref="Q61:Q66" si="27">M61*P61</f>
        <v>12</v>
      </c>
      <c r="R61" s="68">
        <f t="shared" ref="R61:R67" si="28">Q61/O61</f>
        <v>0.8</v>
      </c>
      <c r="S61" s="68">
        <f t="shared" ref="S61:S66" si="29">R61*M61</f>
        <v>2.4</v>
      </c>
      <c r="T61" s="1"/>
      <c r="U61" s="7"/>
      <c r="V61" s="7"/>
      <c r="W61" s="7"/>
      <c r="X61" s="7"/>
      <c r="Y61" s="7"/>
      <c r="Z61" s="7"/>
    </row>
    <row r="62" ht="15.75" customHeight="1">
      <c r="A62" s="69"/>
      <c r="B62" s="41"/>
      <c r="C62" s="43"/>
      <c r="D62" s="43"/>
      <c r="E62" s="43"/>
      <c r="F62" s="44"/>
      <c r="G62" s="45"/>
      <c r="H62" s="70"/>
      <c r="I62" s="1"/>
      <c r="J62" s="1"/>
      <c r="K62" s="1"/>
      <c r="L62" s="61" t="s">
        <v>20</v>
      </c>
      <c r="M62" s="65">
        <v>1.0</v>
      </c>
      <c r="N62" s="65">
        <v>5.0</v>
      </c>
      <c r="O62" s="66">
        <f t="shared" si="26"/>
        <v>5</v>
      </c>
      <c r="P62" s="67">
        <v>2.0</v>
      </c>
      <c r="Q62" s="66">
        <f t="shared" si="27"/>
        <v>2</v>
      </c>
      <c r="R62" s="68">
        <f t="shared" si="28"/>
        <v>0.4</v>
      </c>
      <c r="S62" s="68">
        <f t="shared" si="29"/>
        <v>0.4</v>
      </c>
      <c r="T62" s="1"/>
    </row>
    <row r="63" ht="15.75" customHeight="1">
      <c r="A63" s="71"/>
      <c r="B63" s="41"/>
      <c r="C63" s="43"/>
      <c r="D63" s="43"/>
      <c r="E63" s="43"/>
      <c r="F63" s="44"/>
      <c r="G63" s="45"/>
      <c r="H63" s="70"/>
      <c r="I63" s="1"/>
      <c r="J63" s="1"/>
      <c r="K63" s="1"/>
      <c r="L63" s="61" t="s">
        <v>21</v>
      </c>
      <c r="M63" s="65">
        <v>4.0</v>
      </c>
      <c r="N63" s="65">
        <v>5.0</v>
      </c>
      <c r="O63" s="66">
        <f t="shared" si="26"/>
        <v>20</v>
      </c>
      <c r="P63" s="67">
        <v>4.0</v>
      </c>
      <c r="Q63" s="66">
        <f t="shared" si="27"/>
        <v>16</v>
      </c>
      <c r="R63" s="68">
        <f t="shared" si="28"/>
        <v>0.8</v>
      </c>
      <c r="S63" s="68">
        <f t="shared" si="29"/>
        <v>3.2</v>
      </c>
      <c r="T63" s="1"/>
    </row>
    <row r="64" ht="15.75" customHeight="1">
      <c r="A64" s="69"/>
      <c r="B64" s="41"/>
      <c r="C64" s="43"/>
      <c r="D64" s="43"/>
      <c r="E64" s="43"/>
      <c r="F64" s="44"/>
      <c r="G64" s="45"/>
      <c r="H64" s="70"/>
      <c r="I64" s="1"/>
      <c r="J64" s="1"/>
      <c r="K64" s="1"/>
      <c r="L64" s="61" t="s">
        <v>22</v>
      </c>
      <c r="M64" s="65">
        <v>2.0</v>
      </c>
      <c r="N64" s="65">
        <v>5.0</v>
      </c>
      <c r="O64" s="66">
        <f t="shared" si="26"/>
        <v>10</v>
      </c>
      <c r="P64" s="67">
        <v>5.0</v>
      </c>
      <c r="Q64" s="66">
        <f t="shared" si="27"/>
        <v>10</v>
      </c>
      <c r="R64" s="68">
        <f t="shared" si="28"/>
        <v>1</v>
      </c>
      <c r="S64" s="68">
        <f t="shared" si="29"/>
        <v>2</v>
      </c>
      <c r="T64" s="70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61" t="s">
        <v>37</v>
      </c>
      <c r="M65" s="65">
        <v>5.0</v>
      </c>
      <c r="N65" s="65">
        <v>5.0</v>
      </c>
      <c r="O65" s="66">
        <f t="shared" si="26"/>
        <v>25</v>
      </c>
      <c r="P65" s="67">
        <v>4.0</v>
      </c>
      <c r="Q65" s="66">
        <f t="shared" si="27"/>
        <v>20</v>
      </c>
      <c r="R65" s="68">
        <f t="shared" si="28"/>
        <v>0.8</v>
      </c>
      <c r="S65" s="68">
        <f t="shared" si="29"/>
        <v>4</v>
      </c>
      <c r="T65" s="1"/>
    </row>
    <row r="66" ht="15.75" customHeight="1">
      <c r="B66" s="50"/>
      <c r="C66" s="35"/>
      <c r="D66" s="35"/>
      <c r="E66" s="35"/>
      <c r="F66" s="35"/>
      <c r="G66" s="36"/>
      <c r="H66" s="1"/>
      <c r="I66" s="1"/>
      <c r="J66" s="1"/>
      <c r="K66" s="1"/>
      <c r="L66" s="61" t="s">
        <v>18</v>
      </c>
      <c r="M66" s="65">
        <v>3.0</v>
      </c>
      <c r="N66" s="65">
        <v>5.0</v>
      </c>
      <c r="O66" s="66">
        <f t="shared" si="26"/>
        <v>15</v>
      </c>
      <c r="P66" s="67">
        <v>3.0</v>
      </c>
      <c r="Q66" s="66">
        <f t="shared" si="27"/>
        <v>9</v>
      </c>
      <c r="R66" s="68">
        <f t="shared" si="28"/>
        <v>0.6</v>
      </c>
      <c r="S66" s="68">
        <f t="shared" si="29"/>
        <v>1.8</v>
      </c>
      <c r="T66" s="1"/>
    </row>
    <row r="67" ht="15.75" customHeight="1">
      <c r="B67" s="13"/>
      <c r="C67" s="37"/>
      <c r="D67" s="37"/>
      <c r="E67" s="37"/>
      <c r="F67" s="13"/>
      <c r="G67" s="13"/>
      <c r="H67" s="1"/>
      <c r="I67" s="1"/>
      <c r="J67" s="1"/>
      <c r="K67" s="1"/>
      <c r="L67" s="72"/>
      <c r="M67" s="62">
        <f t="shared" ref="M67:Q67" si="30">SUM(M61:M66)</f>
        <v>18</v>
      </c>
      <c r="N67" s="62">
        <f t="shared" si="30"/>
        <v>30</v>
      </c>
      <c r="O67" s="62">
        <f t="shared" si="30"/>
        <v>90</v>
      </c>
      <c r="P67" s="62">
        <f t="shared" si="30"/>
        <v>22</v>
      </c>
      <c r="Q67" s="62">
        <f t="shared" si="30"/>
        <v>69</v>
      </c>
      <c r="R67" s="68">
        <f t="shared" si="28"/>
        <v>0.7666666667</v>
      </c>
      <c r="S67" s="73">
        <f>SUM(S61:S66)</f>
        <v>13.8</v>
      </c>
      <c r="T67" s="70"/>
    </row>
    <row r="68" ht="15.75" customHeight="1">
      <c r="B68" s="41"/>
      <c r="C68" s="43"/>
      <c r="D68" s="43"/>
      <c r="E68" s="43"/>
      <c r="F68" s="44"/>
      <c r="G68" s="45"/>
      <c r="H68" s="1"/>
      <c r="I68" s="1"/>
      <c r="J68" s="1"/>
      <c r="K68" s="1"/>
      <c r="L68" s="72"/>
      <c r="M68" s="72"/>
      <c r="N68" s="72"/>
      <c r="O68" s="74"/>
      <c r="P68" s="72"/>
      <c r="Q68" s="74"/>
      <c r="R68" s="72"/>
      <c r="S68" s="73">
        <f>S67/M67</f>
        <v>0.7666666667</v>
      </c>
      <c r="T68" s="70"/>
    </row>
    <row r="69" ht="15.75" customHeight="1">
      <c r="B69" s="41"/>
      <c r="C69" s="43"/>
      <c r="D69" s="43"/>
      <c r="E69" s="43"/>
      <c r="F69" s="44"/>
      <c r="G69" s="45"/>
      <c r="H69" s="1"/>
      <c r="I69" s="1"/>
      <c r="J69" s="1"/>
      <c r="K69" s="1"/>
      <c r="L69" s="1"/>
    </row>
    <row r="70" ht="15.75" customHeight="1">
      <c r="B70" s="1"/>
      <c r="C70" s="75"/>
      <c r="D70" s="75"/>
      <c r="E70" s="76"/>
      <c r="F70" s="1"/>
      <c r="G70" s="70"/>
      <c r="H70" s="77"/>
      <c r="I70" s="70"/>
      <c r="J70" s="70"/>
      <c r="K70" s="70"/>
      <c r="L70" s="7"/>
    </row>
  </sheetData>
  <mergeCells count="6">
    <mergeCell ref="L21:T21"/>
    <mergeCell ref="L34:T34"/>
    <mergeCell ref="B53:G53"/>
    <mergeCell ref="B28:C28"/>
    <mergeCell ref="B66:G66"/>
    <mergeCell ref="L59:S59"/>
  </mergeCells>
  <hyperlinks>
    <hyperlink r:id="rId1" ref="B2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M10"/>
    <hyperlink r:id="rId10" ref="N10"/>
    <hyperlink r:id="rId11" ref="O10"/>
    <hyperlink r:id="rId12" ref="P10"/>
    <hyperlink r:id="rId13" ref="Q10"/>
    <hyperlink r:id="rId14" ref="R10"/>
    <hyperlink r:id="rId15" ref="S10"/>
    <hyperlink r:id="rId16" ref="B11"/>
    <hyperlink r:id="rId17" ref="M11"/>
    <hyperlink r:id="rId18" ref="N11"/>
    <hyperlink r:id="rId19" ref="O11"/>
    <hyperlink r:id="rId20" ref="P11"/>
    <hyperlink r:id="rId21" ref="Q11"/>
    <hyperlink r:id="rId22" ref="R11"/>
    <hyperlink r:id="rId23" ref="S11"/>
    <hyperlink r:id="rId24" ref="B12"/>
    <hyperlink r:id="rId25" ref="M12"/>
    <hyperlink r:id="rId26" ref="N12"/>
    <hyperlink r:id="rId27" ref="O12"/>
    <hyperlink r:id="rId28" ref="P12"/>
    <hyperlink r:id="rId29" ref="Q12"/>
    <hyperlink r:id="rId30" ref="R12"/>
    <hyperlink r:id="rId31" ref="S12"/>
    <hyperlink r:id="rId32" ref="B13"/>
    <hyperlink r:id="rId33" ref="M13"/>
    <hyperlink r:id="rId34" ref="N13"/>
    <hyperlink r:id="rId35" ref="O13"/>
    <hyperlink r:id="rId36" ref="P13"/>
    <hyperlink r:id="rId37" ref="Q13"/>
    <hyperlink r:id="rId38" ref="R13"/>
    <hyperlink r:id="rId39" ref="S13"/>
    <hyperlink r:id="rId40" ref="M14"/>
    <hyperlink r:id="rId41" ref="N14"/>
    <hyperlink r:id="rId42" ref="O14"/>
    <hyperlink r:id="rId43" ref="P14"/>
    <hyperlink r:id="rId44" ref="Q14"/>
    <hyperlink r:id="rId45" ref="R14"/>
    <hyperlink r:id="rId46" ref="S14"/>
    <hyperlink r:id="rId47" ref="B15"/>
    <hyperlink r:id="rId48" ref="M15"/>
    <hyperlink r:id="rId49" ref="N15"/>
    <hyperlink r:id="rId50" ref="O15"/>
    <hyperlink r:id="rId51" ref="P15"/>
    <hyperlink r:id="rId52" ref="Q15"/>
    <hyperlink r:id="rId53" ref="R15"/>
    <hyperlink r:id="rId54" ref="S15"/>
    <hyperlink r:id="rId55" ref="M16"/>
    <hyperlink r:id="rId56" ref="N16"/>
    <hyperlink r:id="rId57" ref="O16"/>
    <hyperlink r:id="rId58" ref="P16"/>
    <hyperlink r:id="rId59" ref="Q16"/>
    <hyperlink r:id="rId60" ref="R16"/>
    <hyperlink r:id="rId61" ref="S16"/>
    <hyperlink r:id="rId62" ref="B17"/>
    <hyperlink r:id="rId63" ref="M17"/>
    <hyperlink r:id="rId64" ref="N17"/>
    <hyperlink r:id="rId65" ref="O17"/>
    <hyperlink r:id="rId66" ref="P17"/>
    <hyperlink r:id="rId67" ref="Q17"/>
    <hyperlink r:id="rId68" ref="R17"/>
    <hyperlink r:id="rId69" ref="S17"/>
    <hyperlink r:id="rId70" ref="B18"/>
    <hyperlink r:id="rId71" ref="M18"/>
    <hyperlink r:id="rId72" ref="N18"/>
    <hyperlink r:id="rId73" ref="O18"/>
    <hyperlink r:id="rId74" ref="P18"/>
    <hyperlink r:id="rId75" ref="Q18"/>
    <hyperlink r:id="rId76" ref="R18"/>
    <hyperlink r:id="rId77" ref="S18"/>
    <hyperlink r:id="rId78" ref="B19"/>
    <hyperlink r:id="rId79" ref="M19"/>
    <hyperlink r:id="rId80" ref="N19"/>
    <hyperlink r:id="rId81" ref="P19"/>
    <hyperlink r:id="rId82" ref="Q19"/>
    <hyperlink r:id="rId83" ref="R19"/>
    <hyperlink r:id="rId84" ref="S19"/>
    <hyperlink r:id="rId85" ref="B20"/>
    <hyperlink r:id="rId86" ref="B21"/>
    <hyperlink r:id="rId87" ref="B22"/>
    <hyperlink r:id="rId88" ref="B23"/>
    <hyperlink r:id="rId89" ref="B24"/>
    <hyperlink r:id="rId90" ref="B25"/>
    <hyperlink r:id="rId91" ref="B26"/>
    <hyperlink r:id="rId92" ref="B30"/>
    <hyperlink r:id="rId93" ref="B31"/>
    <hyperlink r:id="rId94" ref="B32"/>
    <hyperlink r:id="rId95" ref="B33"/>
    <hyperlink r:id="rId96" ref="B34"/>
    <hyperlink r:id="rId97" ref="B35"/>
    <hyperlink r:id="rId98" ref="B36"/>
    <hyperlink r:id="rId99" ref="B37"/>
    <hyperlink r:id="rId100" ref="B38"/>
  </hyperlinks>
  <printOptions/>
  <pageMargins bottom="0.787401575" footer="0.0" header="0.0" left="0.511811024" right="0.511811024" top="0.787401575"/>
  <pageSetup orientation="landscape"/>
  <drawing r:id="rId10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2023-03-02T01:23:49Z</dcterms:created>
  <dc:creator>Leonardo Oda</dc:creator>
</cp:coreProperties>
</file>